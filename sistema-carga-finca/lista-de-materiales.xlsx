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materiales" sheetId="1" state="visible" r:id="rId3"/>
    <sheet name="Resumen" sheetId="2" state="visible" r:id="rId4"/>
  </sheets>
  <definedNames>
    <definedName function="false" hidden="false" localSheetId="0" name="_xlnm.Print_Titles" vbProcedure="false">'Lista de materiales'!$5:$5</definedName>
    <definedName function="false" hidden="true" localSheetId="0" name="_xlnm._FilterDatabase" vbProcedure="false">'Lista de materiales'!$A$5:$L$83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<sst xmlns="http://schemas.openxmlformats.org/spreadsheetml/2006/main" count="579" uniqueCount="317">
  <si>
    <t xml:space="preserve">Sistema de transporte de carga por cable · Lista de materiales</t>
  </si>
  <si>
    <t xml:space="preserve">Cantidades para una línea de hasta 200 m medidos a lo largo del cable. Rev. A, 11-10-2026. Las láminas (L2 a L8) están en planos-y-materiales.pdf.</t>
  </si>
  <si>
    <t xml:space="preserve">Para llenar: las celdas amarillas (Proveedor, Precio unitario y ¿Comprado?). El total se calcula solo. Ejemplo: Proveedor «Ferretería del pueblo», Precio unitario 12,50.</t>
  </si>
  <si>
    <t xml:space="preserve">Código</t>
  </si>
  <si>
    <t xml:space="preserve">Grupo</t>
  </si>
  <si>
    <t xml:space="preserve">Material</t>
  </si>
  <si>
    <t xml:space="preserve">Especificación mínima</t>
  </si>
  <si>
    <t xml:space="preserve">Cantidad</t>
  </si>
  <si>
    <t xml:space="preserve">Unidad</t>
  </si>
  <si>
    <t xml:space="preserve">Lámina</t>
  </si>
  <si>
    <t xml:space="preserve">Nota</t>
  </si>
  <si>
    <t xml:space="preserve">Proveedor</t>
  </si>
  <si>
    <t xml:space="preserve">Precio unitario (USD)</t>
  </si>
  <si>
    <t xml:space="preserve">Total (USD)</t>
  </si>
  <si>
    <t xml:space="preserve">¿Comprado?</t>
  </si>
  <si>
    <t xml:space="preserve">A1</t>
  </si>
  <si>
    <t xml:space="preserve">A. Equipo motriz y eléctrico</t>
  </si>
  <si>
    <t xml:space="preserve">Winche eléctrico de tambor</t>
  </si>
  <si>
    <t xml:space="preserve">Tracción de 500 kg o más; 220 V monofásico, 60 Hz; unos 2,2 kW (3 HP); freno electromagnético de resorte que frena al cortar la corriente; tambor para 230 m de cable 5/16"; botonera con paro de emergencia; IP54 o mejor; servicio S3 de 25 % o más</t>
  </si>
  <si>
    <t xml:space="preserve">u</t>
  </si>
  <si>
    <t xml:space="preserve">L2, L4</t>
  </si>
  <si>
    <t xml:space="preserve">Comprar</t>
  </si>
  <si>
    <t xml:space="preserve">A2</t>
  </si>
  <si>
    <t xml:space="preserve">Caja del tablero</t>
  </si>
  <si>
    <t xml:space="preserve">IP65, unos 400 × 300 × 200 mm, con riel DIN</t>
  </si>
  <si>
    <t xml:space="preserve">L8</t>
  </si>
  <si>
    <t xml:space="preserve">A3</t>
  </si>
  <si>
    <t xml:space="preserve">Breaker bipolar Q1</t>
  </si>
  <si>
    <t xml:space="preserve">25 A, curva C, 10 kA</t>
  </si>
  <si>
    <t xml:space="preserve">A4</t>
  </si>
  <si>
    <t xml:space="preserve">Interruptor diferencial bipolar ID</t>
  </si>
  <si>
    <t xml:space="preserve">30 mA, 25 A o 40 A</t>
  </si>
  <si>
    <t xml:space="preserve">A5</t>
  </si>
  <si>
    <t xml:space="preserve">Contactor KM1</t>
  </si>
  <si>
    <t xml:space="preserve">25 A en AC-3, bobina 220 V, con contacto auxiliar NA</t>
  </si>
  <si>
    <t xml:space="preserve">A6</t>
  </si>
  <si>
    <t xml:space="preserve">Paro de emergencia S0</t>
  </si>
  <si>
    <t xml:space="preserve">Hongo rojo de 40 mm con enclavamiento, contacto NC</t>
  </si>
  <si>
    <t xml:space="preserve">A7</t>
  </si>
  <si>
    <t xml:space="preserve">Pulsador de marcha S1</t>
  </si>
  <si>
    <t xml:space="preserve">Verde, contacto NA</t>
  </si>
  <si>
    <t xml:space="preserve">A8</t>
  </si>
  <si>
    <t xml:space="preserve">Luz piloto H1</t>
  </si>
  <si>
    <t xml:space="preserve">220 V</t>
  </si>
  <si>
    <t xml:space="preserve">A9</t>
  </si>
  <si>
    <t xml:space="preserve">Portafusible y fusible F2</t>
  </si>
  <si>
    <t xml:space="preserve">2 A</t>
  </si>
  <si>
    <t xml:space="preserve">A10</t>
  </si>
  <si>
    <t xml:space="preserve">Tomacorriente y enchufe industrial X1</t>
  </si>
  <si>
    <t xml:space="preserve">2P+T, 32 A, IP67</t>
  </si>
  <si>
    <t xml:space="preserve">juego</t>
  </si>
  <si>
    <t xml:space="preserve">A11</t>
  </si>
  <si>
    <t xml:space="preserve">Cable de fuerza</t>
  </si>
  <si>
    <t xml:space="preserve">Flexible de 3 conductores (2 fases y tierra) para intemperie. 10 AWG hasta 39 m; 8 AWG de 40 a 62 m; 6 AWG de 63 a 99 m; 4 AWG de 100 a 158 m</t>
  </si>
  <si>
    <t xml:space="preserve">m</t>
  </si>
  <si>
    <t xml:space="preserve">Ajustar a la distancia real</t>
  </si>
  <si>
    <t xml:space="preserve">A12</t>
  </si>
  <si>
    <t xml:space="preserve">Varilla de puesta a tierra</t>
  </si>
  <si>
    <t xml:space="preserve">Copperweld 5/8" × 1,8 m con conector</t>
  </si>
  <si>
    <t xml:space="preserve">Tablero y cada anclaje del portante</t>
  </si>
  <si>
    <t xml:space="preserve">A13</t>
  </si>
  <si>
    <t xml:space="preserve">Cable de cobre para tierras</t>
  </si>
  <si>
    <t xml:space="preserve">8 AWG, desnudo o verde</t>
  </si>
  <si>
    <t xml:space="preserve">A14</t>
  </si>
  <si>
    <t xml:space="preserve">Control remoto industrial para grúa</t>
  </si>
  <si>
    <t xml:space="preserve">Dos botones y paro de emergencia, 220 V, alcance de 100 m o más</t>
  </si>
  <si>
    <t xml:space="preserve">Recomendado</t>
  </si>
  <si>
    <t xml:space="preserve">A15</t>
  </si>
  <si>
    <t xml:space="preserve">Final de carrera</t>
  </si>
  <si>
    <t xml:space="preserve">De husillo para el tambor, o de palanca IP65</t>
  </si>
  <si>
    <t xml:space="preserve">Si el winche no lo trae</t>
  </si>
  <si>
    <t xml:space="preserve">A16</t>
  </si>
  <si>
    <t xml:space="preserve">Generador</t>
  </si>
  <si>
    <t xml:space="preserve">220 V monofásico, 60 Hz, 7 kVA o más (4,5 kVA con variador)</t>
  </si>
  <si>
    <t xml:space="preserve">Solo si no hay red</t>
  </si>
  <si>
    <t xml:space="preserve">B1</t>
  </si>
  <si>
    <t xml:space="preserve">B. Cables y herrajes</t>
  </si>
  <si>
    <t xml:space="preserve">Cable portante</t>
  </si>
  <si>
    <t xml:space="preserve">Acero 5/8" (16 mm) 6x19 con alma de acero, galvanizado, ruptura de 16 t o más, con certificado</t>
  </si>
  <si>
    <t xml:space="preserve">L2</t>
  </si>
  <si>
    <t xml:space="preserve">Largo de la línea + 12 m</t>
  </si>
  <si>
    <t xml:space="preserve">B2</t>
  </si>
  <si>
    <t xml:space="preserve">Cable tractor</t>
  </si>
  <si>
    <t xml:space="preserve">Acero 5/16" (8 mm) 6x19 con alma de acero, galvanizado, ruptura de 4 t o más, con certificado</t>
  </si>
  <si>
    <t xml:space="preserve">Largo de la línea + 5 % + 15 m</t>
  </si>
  <si>
    <t xml:space="preserve">B3</t>
  </si>
  <si>
    <t xml:space="preserve">Grapas para cable de 5/8"</t>
  </si>
  <si>
    <t xml:space="preserve">Forjadas y galvanizadas (no de fundición)</t>
  </si>
  <si>
    <t xml:space="preserve">L6</t>
  </si>
  <si>
    <t xml:space="preserve">6 para los ojos, 4 para los topes, 2 de repuesto</t>
  </si>
  <si>
    <t xml:space="preserve">B4</t>
  </si>
  <si>
    <t xml:space="preserve">Grapas para cable de 5/16"</t>
  </si>
  <si>
    <t xml:space="preserve">Forjadas y galvanizadas</t>
  </si>
  <si>
    <t xml:space="preserve">B5</t>
  </si>
  <si>
    <t xml:space="preserve">Guardacabos de 5/8"</t>
  </si>
  <si>
    <t xml:space="preserve">Reforzados, galvanizados</t>
  </si>
  <si>
    <t xml:space="preserve">B6</t>
  </si>
  <si>
    <t xml:space="preserve">Guardacabos de 5/16"</t>
  </si>
  <si>
    <t xml:space="preserve">Galvanizados</t>
  </si>
  <si>
    <t xml:space="preserve">B7</t>
  </si>
  <si>
    <t xml:space="preserve">Grilletes de 3/4"</t>
  </si>
  <si>
    <t xml:space="preserve">De lira con perno roscado, carga de trabajo 4,75 t</t>
  </si>
  <si>
    <t xml:space="preserve">L5, L6</t>
  </si>
  <si>
    <t xml:space="preserve">Anclajes del portante y brida</t>
  </si>
  <si>
    <t xml:space="preserve">B8</t>
  </si>
  <si>
    <t xml:space="preserve">Grilletes de 1/2"</t>
  </si>
  <si>
    <t xml:space="preserve">De lira con perno roscado, carga de trabajo 2 t</t>
  </si>
  <si>
    <t xml:space="preserve">L3, L4</t>
  </si>
  <si>
    <t xml:space="preserve">B9</t>
  </si>
  <si>
    <t xml:space="preserve">Grilletes de 3/8"</t>
  </si>
  <si>
    <t xml:space="preserve">Carga de trabajo 1 t</t>
  </si>
  <si>
    <t xml:space="preserve">—</t>
  </si>
  <si>
    <t xml:space="preserve">Eslingas de carga</t>
  </si>
  <si>
    <t xml:space="preserve">B10</t>
  </si>
  <si>
    <t xml:space="preserve">Destorcedor</t>
  </si>
  <si>
    <t xml:space="preserve">Con rodamiento, ojo-ojo, carga de trabajo de 1 t o más</t>
  </si>
  <si>
    <t xml:space="preserve">L3</t>
  </si>
  <si>
    <t xml:space="preserve">Entre el carro y el cable tractor</t>
  </si>
  <si>
    <t xml:space="preserve">B11</t>
  </si>
  <si>
    <t xml:space="preserve">Estrobos de 5/8"</t>
  </si>
  <si>
    <t xml:space="preserve">Cable galvanizado 5/8" × 4 m, ojos con guardacabo prensados</t>
  </si>
  <si>
    <t xml:space="preserve">Muertos y bases fijas</t>
  </si>
  <si>
    <t xml:space="preserve">B12</t>
  </si>
  <si>
    <t xml:space="preserve">Estrobos de 1/2"</t>
  </si>
  <si>
    <t xml:space="preserve">Cable galvanizado 1/2" × 1,5 m, ojos con guardacabo prensados</t>
  </si>
  <si>
    <t xml:space="preserve">L4</t>
  </si>
  <si>
    <t xml:space="preserve">Brida del trineo</t>
  </si>
  <si>
    <t xml:space="preserve">B13</t>
  </si>
  <si>
    <t xml:space="preserve">Lubricante para cable</t>
  </si>
  <si>
    <t xml:space="preserve">Grasa o aceite para cable de acero</t>
  </si>
  <si>
    <t xml:space="preserve">L</t>
  </si>
  <si>
    <t xml:space="preserve">Mantenimiento</t>
  </si>
  <si>
    <t xml:space="preserve">B14</t>
  </si>
  <si>
    <t xml:space="preserve">Soga guía</t>
  </si>
  <si>
    <t xml:space="preserve">Polipropileno de 10 a 12 mm</t>
  </si>
  <si>
    <t xml:space="preserve">Largo de la línea + 20 m</t>
  </si>
  <si>
    <t xml:space="preserve">C1</t>
  </si>
  <si>
    <t xml:space="preserve">C. Carro de garruchas (taller)</t>
  </si>
  <si>
    <t xml:space="preserve">Placas laterales</t>
  </si>
  <si>
    <t xml:space="preserve">Acero A36 de 8 mm, 680 × 320 mm con orejas, cortadas según el plano</t>
  </si>
  <si>
    <t xml:space="preserve">Fabricar</t>
  </si>
  <si>
    <t xml:space="preserve">C2</t>
  </si>
  <si>
    <t xml:space="preserve">Garruchas</t>
  </si>
  <si>
    <t xml:space="preserve">Ø 200 mm, 45 mm de ancho, canal para cable 5/8", dos rodamientos 6204-2RS, capacidad de 1 t o más</t>
  </si>
  <si>
    <t xml:space="preserve">Comprar o tornear</t>
  </si>
  <si>
    <t xml:space="preserve">C3</t>
  </si>
  <si>
    <t xml:space="preserve">Pernos de eje</t>
  </si>
  <si>
    <t xml:space="preserve">M20 × 120 grado 8.8, tuerca de seguridad y 2 arandelas</t>
  </si>
  <si>
    <t xml:space="preserve">C4</t>
  </si>
  <si>
    <t xml:space="preserve">Tubos separadores del eje</t>
  </si>
  <si>
    <t xml:space="preserve">Ø 30 × Ø 21 interior, 7,5 mm de largo</t>
  </si>
  <si>
    <t xml:space="preserve">C5</t>
  </si>
  <si>
    <t xml:space="preserve">Pasadores antidescarrilamiento</t>
  </si>
  <si>
    <t xml:space="preserve">Perno M16 × 110 grado 8.8 con tuerca de seguridad y tubo de Ø 20 × 60 mm</t>
  </si>
  <si>
    <t xml:space="preserve">Comprar y fabricar</t>
  </si>
  <si>
    <t xml:space="preserve">C6</t>
  </si>
  <si>
    <t xml:space="preserve">Perno de carga</t>
  </si>
  <si>
    <t xml:space="preserve">M24 × 120 grado 8.8, tuerca de seguridad</t>
  </si>
  <si>
    <t xml:space="preserve">C7</t>
  </si>
  <si>
    <t xml:space="preserve">Gancho giratorio</t>
  </si>
  <si>
    <t xml:space="preserve">Con seguro, ojo para perno M24 de 50 mm de ancho o menos, carga de trabajo de 1 t o más</t>
  </si>
  <si>
    <t xml:space="preserve">C8</t>
  </si>
  <si>
    <t xml:space="preserve">Pintura del carro</t>
  </si>
  <si>
    <t xml:space="preserve">Anticorrosivo y esmalte</t>
  </si>
  <si>
    <t xml:space="preserve">C9</t>
  </si>
  <si>
    <t xml:space="preserve">Amortiguadores de los topes</t>
  </si>
  <si>
    <t xml:space="preserve">Pedazo de llanta de 20 × 20 cm (las grapas van en B3)</t>
  </si>
  <si>
    <t xml:space="preserve">Reciclar</t>
  </si>
  <si>
    <t xml:space="preserve">D1</t>
  </si>
  <si>
    <t xml:space="preserve">D. Accesorios de carga</t>
  </si>
  <si>
    <t xml:space="preserve">Canasta para barril</t>
  </si>
  <si>
    <t xml:space="preserve">Cuna metálica para barril de 55 galones, con eslinga de 4 ramales, carga de trabajo de 1 t o más</t>
  </si>
  <si>
    <t xml:space="preserve">Comprar o fabricar</t>
  </si>
  <si>
    <t xml:space="preserve">D2</t>
  </si>
  <si>
    <t xml:space="preserve">Sacos grandes (big bag)</t>
  </si>
  <si>
    <t xml:space="preserve">1 t, con 4 asas</t>
  </si>
  <si>
    <t xml:space="preserve">Panela y sacos</t>
  </si>
  <si>
    <t xml:space="preserve">D3</t>
  </si>
  <si>
    <t xml:space="preserve">Eslingas planas</t>
  </si>
  <si>
    <t xml:space="preserve">Poliéster, 1 t, 2 m</t>
  </si>
  <si>
    <t xml:space="preserve">Caña y cargas sueltas</t>
  </si>
  <si>
    <t xml:space="preserve">E1</t>
  </si>
  <si>
    <t xml:space="preserve">E. Trineo del winche (taller)</t>
  </si>
  <si>
    <t xml:space="preserve">Tubo rectangular</t>
  </si>
  <si>
    <t xml:space="preserve">100 × 50 × 3 mm, tiras de 6 m. Largueros 2 × 2000 mm y travesaños 4 × 800 mm</t>
  </si>
  <si>
    <t xml:space="preserve">tira</t>
  </si>
  <si>
    <t xml:space="preserve">E2</t>
  </si>
  <si>
    <t xml:space="preserve">Placa base</t>
  </si>
  <si>
    <t xml:space="preserve">Acero A36 de 10 mm, 700 × 600 mm</t>
  </si>
  <si>
    <t xml:space="preserve">E3</t>
  </si>
  <si>
    <t xml:space="preserve">Orejas de amarre</t>
  </si>
  <si>
    <t xml:space="preserve">Acero A36 de 12 mm, 120 × 80 mm, agujero Ø 22</t>
  </si>
  <si>
    <t xml:space="preserve">E4</t>
  </si>
  <si>
    <t xml:space="preserve">Tubo cuadrado</t>
  </si>
  <si>
    <t xml:space="preserve">40 × 40 × 2 mm, tiras de 6 m. Postes 4 × 1100 mm y correas del techo</t>
  </si>
  <si>
    <t xml:space="preserve">E5</t>
  </si>
  <si>
    <t xml:space="preserve">Plancha de zinc</t>
  </si>
  <si>
    <t xml:space="preserve">Ondulada, para techo de 1,2 × 1,1 m</t>
  </si>
  <si>
    <t xml:space="preserve">E6</t>
  </si>
  <si>
    <t xml:space="preserve">Pernos del winche</t>
  </si>
  <si>
    <t xml:space="preserve">Según el fabricante del winche, grado 8.8, tuerca de seguridad</t>
  </si>
  <si>
    <t xml:space="preserve">E7</t>
  </si>
  <si>
    <t xml:space="preserve">Guía de rodillos</t>
  </si>
  <si>
    <t xml:space="preserve">Para cable 5/16"</t>
  </si>
  <si>
    <t xml:space="preserve">E8</t>
  </si>
  <si>
    <t xml:space="preserve">Pintura del trineo</t>
  </si>
  <si>
    <t xml:space="preserve">F1</t>
  </si>
  <si>
    <t xml:space="preserve">F. Anclajes</t>
  </si>
  <si>
    <t xml:space="preserve">Eslingas redondas</t>
  </si>
  <si>
    <t xml:space="preserve">Poliéster 5 t, 4 m, para árboles</t>
  </si>
  <si>
    <t xml:space="preserve">F2</t>
  </si>
  <si>
    <t xml:space="preserve">Protectores de corteza</t>
  </si>
  <si>
    <t xml:space="preserve">Tablas de 2,5 cm o manga de lona</t>
  </si>
  <si>
    <t xml:space="preserve">L5</t>
  </si>
  <si>
    <t xml:space="preserve">F3</t>
  </si>
  <si>
    <t xml:space="preserve">Anclas de tornillo</t>
  </si>
  <si>
    <t xml:space="preserve">De retenida eléctrica, hélice de 20 a 25 cm, varilla de 5/8" a 3/4" × 1,5 a 2 m</t>
  </si>
  <si>
    <t xml:space="preserve">F4</t>
  </si>
  <si>
    <t xml:space="preserve">Barra para atornillar anclas</t>
  </si>
  <si>
    <t xml:space="preserve">Tubo de 1½" × 1,5 m</t>
  </si>
  <si>
    <t xml:space="preserve">F5</t>
  </si>
  <si>
    <t xml:space="preserve">Estacas de acero</t>
  </si>
  <si>
    <t xml:space="preserve">Tubo de 1½" cédula 40 o ángulo de 2" × 1/4", 1,2 m, con punta</t>
  </si>
  <si>
    <t xml:space="preserve">Dos grupos 3-2-1</t>
  </si>
  <si>
    <t xml:space="preserve">F6</t>
  </si>
  <si>
    <t xml:space="preserve">Soga para amarre de estacas</t>
  </si>
  <si>
    <t xml:space="preserve">Polipropileno de 12 mm</t>
  </si>
  <si>
    <t xml:space="preserve">F7</t>
  </si>
  <si>
    <t xml:space="preserve">Muertos de madera</t>
  </si>
  <si>
    <t xml:space="preserve">Tronco duro de Ø 30 cm × 2 m, riel o tubo</t>
  </si>
  <si>
    <t xml:space="preserve">Donde no haya árbol ni base fija</t>
  </si>
  <si>
    <t xml:space="preserve">F8</t>
  </si>
  <si>
    <t xml:space="preserve">Base fija de hormigón, por cada punto</t>
  </si>
  <si>
    <t xml:space="preserve">Hormigón f'c 210 kg/cm², 0,32 m³: 3 sacos de cemento, 0,2 m³ de arena y 0,3 m³ de ripio. 4 varillas Ø 12 mm × 2 m, 11 estribos Ø 8 mm, tubo PVC de 2" × 2 m y un estrobo de 5/8"</t>
  </si>
  <si>
    <t xml:space="preserve">punto</t>
  </si>
  <si>
    <t xml:space="preserve">Cotizar por cada punto fijo</t>
  </si>
  <si>
    <t xml:space="preserve">G1</t>
  </si>
  <si>
    <t xml:space="preserve">G. Herramientas de instalación y medición</t>
  </si>
  <si>
    <t xml:space="preserve">Tecle de palanca</t>
  </si>
  <si>
    <t xml:space="preserve">3 t, cadena de 1,5 m</t>
  </si>
  <si>
    <t xml:space="preserve">G2</t>
  </si>
  <si>
    <t xml:space="preserve">Agarre de cable</t>
  </si>
  <si>
    <t xml:space="preserve">Para cable 5/8", 3 t</t>
  </si>
  <si>
    <t xml:space="preserve">G3</t>
  </si>
  <si>
    <t xml:space="preserve">Dinamómetro</t>
  </si>
  <si>
    <t xml:space="preserve">Balanza colgante digital de 5 t, resolución de 2 kg o menos</t>
  </si>
  <si>
    <t xml:space="preserve">Indispensable</t>
  </si>
  <si>
    <t xml:space="preserve">G4</t>
  </si>
  <si>
    <t xml:space="preserve">Llave de torque</t>
  </si>
  <si>
    <t xml:space="preserve">40 a 150 N·m, con dados para las grapas</t>
  </si>
  <si>
    <t xml:space="preserve">G5</t>
  </si>
  <si>
    <t xml:space="preserve">Radios portátiles</t>
  </si>
  <si>
    <t xml:space="preserve">Walkie-talkie</t>
  </si>
  <si>
    <t xml:space="preserve">G6</t>
  </si>
  <si>
    <t xml:space="preserve">Equipo para medir el sitio</t>
  </si>
  <si>
    <t xml:space="preserve">Telémetro láser o cinta de 100 m, y clinómetro</t>
  </si>
  <si>
    <t xml:space="preserve">Comprar o prestar</t>
  </si>
  <si>
    <t xml:space="preserve">G7</t>
  </si>
  <si>
    <t xml:space="preserve">Herramientas de zanja</t>
  </si>
  <si>
    <t xml:space="preserve">Pala, barra y barreta</t>
  </si>
  <si>
    <t xml:space="preserve">Disponible en la finca</t>
  </si>
  <si>
    <t xml:space="preserve">G8</t>
  </si>
  <si>
    <t xml:space="preserve">Pintura en spray</t>
  </si>
  <si>
    <t xml:space="preserve">Para marcas en cables y grapas</t>
  </si>
  <si>
    <t xml:space="preserve">H1</t>
  </si>
  <si>
    <t xml:space="preserve">H. Seguridad y señalización</t>
  </si>
  <si>
    <t xml:space="preserve">Extintores</t>
  </si>
  <si>
    <t xml:space="preserve">Polvo químico seco ABC, 10 lb</t>
  </si>
  <si>
    <t xml:space="preserve">Uno en cada estación</t>
  </si>
  <si>
    <t xml:space="preserve">H2</t>
  </si>
  <si>
    <t xml:space="preserve">Equipo de protección</t>
  </si>
  <si>
    <t xml:space="preserve">Casco, guantes de cuero, gafas y botas con punta de acero</t>
  </si>
  <si>
    <t xml:space="preserve">Uno por persona</t>
  </si>
  <si>
    <t xml:space="preserve">H3</t>
  </si>
  <si>
    <t xml:space="preserve">Letreros de capacidad</t>
  </si>
  <si>
    <t xml:space="preserve">«Capacidad máxima 300 kg»</t>
  </si>
  <si>
    <t xml:space="preserve">En el winche y en el carro</t>
  </si>
  <si>
    <t xml:space="preserve">H4</t>
  </si>
  <si>
    <t xml:space="preserve">Letreros de peligro</t>
  </si>
  <si>
    <t xml:space="preserve">«Peligro: cable aéreo. No pasar debajo»</t>
  </si>
  <si>
    <t xml:space="preserve">Extremos y cruces de caminos</t>
  </si>
  <si>
    <t xml:space="preserve">H5</t>
  </si>
  <si>
    <t xml:space="preserve">Cinta de peligro</t>
  </si>
  <si>
    <t xml:space="preserve">Rollo de 100 m</t>
  </si>
  <si>
    <t xml:space="preserve">rollo</t>
  </si>
  <si>
    <t xml:space="preserve">H6</t>
  </si>
  <si>
    <t xml:space="preserve">Botiquín</t>
  </si>
  <si>
    <t xml:space="preserve">De primeros auxilios</t>
  </si>
  <si>
    <t xml:space="preserve">I1</t>
  </si>
  <si>
    <t xml:space="preserve">I. Arrastre e izaje (modos B y C)</t>
  </si>
  <si>
    <t xml:space="preserve">Pastecas</t>
  </si>
  <si>
    <t xml:space="preserve">Poleas de apertura lateral para cable 5/16" a 3/8", carga de trabajo de 2 t o más</t>
  </si>
  <si>
    <t xml:space="preserve">L7</t>
  </si>
  <si>
    <t xml:space="preserve">Desvío, polea móvil o pie del trípode</t>
  </si>
  <si>
    <t xml:space="preserve">I2</t>
  </si>
  <si>
    <t xml:space="preserve">Patas del trípode</t>
  </si>
  <si>
    <t xml:space="preserve">Tubo galvanizado 2" cédula 40 × 3,5 m</t>
  </si>
  <si>
    <t xml:space="preserve">I3</t>
  </si>
  <si>
    <t xml:space="preserve">Cabezal del trípode</t>
  </si>
  <si>
    <t xml:space="preserve">Placa A36 de 10 mm con 3 bisagras, ojo de izaje de 1 t o más y polea de Ø 160 mm o más para 5/16"</t>
  </si>
  <si>
    <t xml:space="preserve">I4</t>
  </si>
  <si>
    <t xml:space="preserve">Cadena entre patas</t>
  </si>
  <si>
    <t xml:space="preserve">Galvanizada 3/8" × 5 m con 3 grilletes de 3/8"</t>
  </si>
  <si>
    <t xml:space="preserve">I5</t>
  </si>
  <si>
    <t xml:space="preserve">Zapatas con punta</t>
  </si>
  <si>
    <t xml:space="preserve">Para las patas del trípode</t>
  </si>
  <si>
    <t xml:space="preserve">I6</t>
  </si>
  <si>
    <t xml:space="preserve">Narria o carreta</t>
  </si>
  <si>
    <t xml:space="preserve">Para 500 kg, con punto de tiro</t>
  </si>
  <si>
    <t xml:space="preserve">Opcional</t>
  </si>
  <si>
    <t xml:space="preserve">Total general</t>
  </si>
  <si>
    <t xml:space="preserve">Resumen por grupo</t>
  </si>
  <si>
    <t xml:space="preserve">Se llena solo con los precios de la hoja «Lista de materiales».</t>
  </si>
  <si>
    <t xml:space="preserve">Ítems</t>
  </si>
  <si>
    <t xml:space="preserve">Ítems con precio</t>
  </si>
  <si>
    <t xml:space="preserve">Total</t>
  </si>
  <si>
    <t xml:space="preserve">Los opcionales (control remoto, final de carrera, generador, narria) están incluidos: borra su precio si no los compras.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</si>
</sst>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55624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B3A"/>
        <bgColor rgb="FF55624F"/>
      </patternFill>
    </fill>
    <fill>
      <patternFill patternType="solid">
        <fgColor rgb="FFFFFF00"/>
        <bgColor rgb="FFFFFF00"/>
      </patternFill>
    </fill>
    <fill>
      <patternFill patternType="solid">
        <fgColor rgb="FFE6EAE1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DB0"/>
      </left>
      <right style="thin">
        <color rgb="FFB7BDB0"/>
      </right>
      <top style="thin">
        <color rgb="FFB7BDB0"/>
      </top>
      <bottom style="thin">
        <color rgb="FFB7BD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B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808000"/>
      <rgbColor rgb="FF800080"/>
      <rgbColor rgb="FF008080"/>
      <rgbColor rgb="FFB7BDB0"/>
      <rgbColor rgb="FF808080"/>
      <rgbColor rgb="FF9999FF"/>
      <rgbColor rgb="FF993366"/>
      <rgbColor rgb="FFE6EA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24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60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26"/>
    <col collapsed="false" customWidth="true" hidden="false" outlineLevel="0" max="9" min="9" style="0" width="22"/>
    <col collapsed="false" customWidth="true" hidden="false" outlineLevel="0" max="11" min="10" style="0" width="13"/>
    <col collapsed="false" customWidth="true" hidden="false" outlineLevel="0" max="12" min="12" style="0" width="11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customFormat="false" ht="46.25" hidden="false" customHeight="false" outlineLevel="0" collapsed="false">
      <c r="A6" s="5" t="s">
        <v>15</v>
      </c>
      <c r="B6" s="5" t="s">
        <v>16</v>
      </c>
      <c r="C6" s="5" t="s">
        <v>17</v>
      </c>
      <c r="D6" s="5" t="s">
        <v>18</v>
      </c>
      <c r="E6" s="6" t="n">
        <v>1</v>
      </c>
      <c r="F6" s="5" t="s">
        <v>19</v>
      </c>
      <c r="G6" s="5" t="s">
        <v>20</v>
      </c>
      <c r="H6" s="5" t="s">
        <v>21</v>
      </c>
      <c r="I6" s="7"/>
      <c r="J6" s="8"/>
      <c r="K6" s="9" t="str">
        <f aca="false">IF(J6="","",E6*J6)</f>
        <v/>
      </c>
      <c r="L6" s="7"/>
    </row>
    <row r="7" customFormat="false" ht="23.85" hidden="false" customHeight="false" outlineLevel="0" collapsed="false">
      <c r="A7" s="5" t="s">
        <v>22</v>
      </c>
      <c r="B7" s="5" t="s">
        <v>16</v>
      </c>
      <c r="C7" s="5" t="s">
        <v>23</v>
      </c>
      <c r="D7" s="5" t="s">
        <v>24</v>
      </c>
      <c r="E7" s="6" t="n">
        <v>1</v>
      </c>
      <c r="F7" s="5" t="s">
        <v>19</v>
      </c>
      <c r="G7" s="5" t="s">
        <v>25</v>
      </c>
      <c r="H7" s="5" t="s">
        <v>21</v>
      </c>
      <c r="I7" s="7"/>
      <c r="J7" s="8"/>
      <c r="K7" s="9" t="str">
        <f aca="false">IF(J7="","",E7*J7)</f>
        <v/>
      </c>
      <c r="L7" s="7"/>
    </row>
    <row r="8" customFormat="false" ht="23.85" hidden="false" customHeight="false" outlineLevel="0" collapsed="false">
      <c r="A8" s="5" t="s">
        <v>26</v>
      </c>
      <c r="B8" s="5" t="s">
        <v>16</v>
      </c>
      <c r="C8" s="5" t="s">
        <v>27</v>
      </c>
      <c r="D8" s="5" t="s">
        <v>28</v>
      </c>
      <c r="E8" s="6" t="n">
        <v>1</v>
      </c>
      <c r="F8" s="5" t="s">
        <v>19</v>
      </c>
      <c r="G8" s="5" t="s">
        <v>25</v>
      </c>
      <c r="H8" s="5" t="s">
        <v>21</v>
      </c>
      <c r="I8" s="7"/>
      <c r="J8" s="8"/>
      <c r="K8" s="9" t="str">
        <f aca="false">IF(J8="","",E8*J8)</f>
        <v/>
      </c>
      <c r="L8" s="7"/>
    </row>
    <row r="9" customFormat="false" ht="23.85" hidden="false" customHeight="false" outlineLevel="0" collapsed="false">
      <c r="A9" s="5" t="s">
        <v>29</v>
      </c>
      <c r="B9" s="5" t="s">
        <v>16</v>
      </c>
      <c r="C9" s="5" t="s">
        <v>30</v>
      </c>
      <c r="D9" s="5" t="s">
        <v>31</v>
      </c>
      <c r="E9" s="6" t="n">
        <v>1</v>
      </c>
      <c r="F9" s="5" t="s">
        <v>19</v>
      </c>
      <c r="G9" s="5" t="s">
        <v>25</v>
      </c>
      <c r="H9" s="5" t="s">
        <v>21</v>
      </c>
      <c r="I9" s="7"/>
      <c r="J9" s="8"/>
      <c r="K9" s="9" t="str">
        <f aca="false">IF(J9="","",E9*J9)</f>
        <v/>
      </c>
      <c r="L9" s="7"/>
    </row>
    <row r="10" customFormat="false" ht="23.85" hidden="false" customHeight="false" outlineLevel="0" collapsed="false">
      <c r="A10" s="5" t="s">
        <v>32</v>
      </c>
      <c r="B10" s="5" t="s">
        <v>16</v>
      </c>
      <c r="C10" s="5" t="s">
        <v>33</v>
      </c>
      <c r="D10" s="5" t="s">
        <v>34</v>
      </c>
      <c r="E10" s="6" t="n">
        <v>1</v>
      </c>
      <c r="F10" s="5" t="s">
        <v>19</v>
      </c>
      <c r="G10" s="5" t="s">
        <v>25</v>
      </c>
      <c r="H10" s="5" t="s">
        <v>21</v>
      </c>
      <c r="I10" s="7"/>
      <c r="J10" s="8"/>
      <c r="K10" s="9" t="str">
        <f aca="false">IF(J10="","",E10*J10)</f>
        <v/>
      </c>
      <c r="L10" s="7"/>
    </row>
    <row r="11" customFormat="false" ht="23.85" hidden="false" customHeight="false" outlineLevel="0" collapsed="false">
      <c r="A11" s="5" t="s">
        <v>35</v>
      </c>
      <c r="B11" s="5" t="s">
        <v>16</v>
      </c>
      <c r="C11" s="5" t="s">
        <v>36</v>
      </c>
      <c r="D11" s="5" t="s">
        <v>37</v>
      </c>
      <c r="E11" s="6" t="n">
        <v>1</v>
      </c>
      <c r="F11" s="5" t="s">
        <v>19</v>
      </c>
      <c r="G11" s="5" t="s">
        <v>25</v>
      </c>
      <c r="H11" s="5" t="s">
        <v>21</v>
      </c>
      <c r="I11" s="7"/>
      <c r="J11" s="8"/>
      <c r="K11" s="9" t="str">
        <f aca="false">IF(J11="","",E11*J11)</f>
        <v/>
      </c>
      <c r="L11" s="7"/>
    </row>
    <row r="12" customFormat="false" ht="23.85" hidden="false" customHeight="false" outlineLevel="0" collapsed="false">
      <c r="A12" s="5" t="s">
        <v>38</v>
      </c>
      <c r="B12" s="5" t="s">
        <v>16</v>
      </c>
      <c r="C12" s="5" t="s">
        <v>39</v>
      </c>
      <c r="D12" s="5" t="s">
        <v>40</v>
      </c>
      <c r="E12" s="6" t="n">
        <v>1</v>
      </c>
      <c r="F12" s="5" t="s">
        <v>19</v>
      </c>
      <c r="G12" s="5" t="s">
        <v>25</v>
      </c>
      <c r="H12" s="5" t="s">
        <v>21</v>
      </c>
      <c r="I12" s="7"/>
      <c r="J12" s="8"/>
      <c r="K12" s="9" t="str">
        <f aca="false">IF(J12="","",E12*J12)</f>
        <v/>
      </c>
      <c r="L12" s="7"/>
    </row>
    <row r="13" customFormat="false" ht="23.85" hidden="false" customHeight="false" outlineLevel="0" collapsed="false">
      <c r="A13" s="5" t="s">
        <v>41</v>
      </c>
      <c r="B13" s="5" t="s">
        <v>16</v>
      </c>
      <c r="C13" s="5" t="s">
        <v>42</v>
      </c>
      <c r="D13" s="5" t="s">
        <v>43</v>
      </c>
      <c r="E13" s="6" t="n">
        <v>1</v>
      </c>
      <c r="F13" s="5" t="s">
        <v>19</v>
      </c>
      <c r="G13" s="5" t="s">
        <v>25</v>
      </c>
      <c r="H13" s="5" t="s">
        <v>21</v>
      </c>
      <c r="I13" s="7"/>
      <c r="J13" s="8"/>
      <c r="K13" s="9" t="str">
        <f aca="false">IF(J13="","",E13*J13)</f>
        <v/>
      </c>
      <c r="L13" s="7"/>
    </row>
    <row r="14" customFormat="false" ht="23.85" hidden="false" customHeight="false" outlineLevel="0" collapsed="false">
      <c r="A14" s="5" t="s">
        <v>44</v>
      </c>
      <c r="B14" s="5" t="s">
        <v>16</v>
      </c>
      <c r="C14" s="5" t="s">
        <v>45</v>
      </c>
      <c r="D14" s="5" t="s">
        <v>46</v>
      </c>
      <c r="E14" s="6" t="n">
        <v>1</v>
      </c>
      <c r="F14" s="5" t="s">
        <v>19</v>
      </c>
      <c r="G14" s="5" t="s">
        <v>25</v>
      </c>
      <c r="H14" s="5" t="s">
        <v>21</v>
      </c>
      <c r="I14" s="7"/>
      <c r="J14" s="8"/>
      <c r="K14" s="9" t="str">
        <f aca="false">IF(J14="","",E14*J14)</f>
        <v/>
      </c>
      <c r="L14" s="7"/>
    </row>
    <row r="15" customFormat="false" ht="23.85" hidden="false" customHeight="false" outlineLevel="0" collapsed="false">
      <c r="A15" s="5" t="s">
        <v>47</v>
      </c>
      <c r="B15" s="5" t="s">
        <v>16</v>
      </c>
      <c r="C15" s="5" t="s">
        <v>48</v>
      </c>
      <c r="D15" s="5" t="s">
        <v>49</v>
      </c>
      <c r="E15" s="6" t="n">
        <v>1</v>
      </c>
      <c r="F15" s="5" t="s">
        <v>50</v>
      </c>
      <c r="G15" s="5" t="s">
        <v>25</v>
      </c>
      <c r="H15" s="5" t="s">
        <v>21</v>
      </c>
      <c r="I15" s="7"/>
      <c r="J15" s="8"/>
      <c r="K15" s="9" t="str">
        <f aca="false">IF(J15="","",E15*J15)</f>
        <v/>
      </c>
      <c r="L15" s="7"/>
    </row>
    <row r="16" customFormat="false" ht="35.05" hidden="false" customHeight="false" outlineLevel="0" collapsed="false">
      <c r="A16" s="5" t="s">
        <v>51</v>
      </c>
      <c r="B16" s="5" t="s">
        <v>16</v>
      </c>
      <c r="C16" s="5" t="s">
        <v>52</v>
      </c>
      <c r="D16" s="5" t="s">
        <v>53</v>
      </c>
      <c r="E16" s="6" t="n">
        <v>40</v>
      </c>
      <c r="F16" s="5" t="s">
        <v>54</v>
      </c>
      <c r="G16" s="5" t="s">
        <v>25</v>
      </c>
      <c r="H16" s="5" t="s">
        <v>55</v>
      </c>
      <c r="I16" s="7"/>
      <c r="J16" s="8"/>
      <c r="K16" s="9" t="str">
        <f aca="false">IF(J16="","",E16*J16)</f>
        <v/>
      </c>
      <c r="L16" s="7"/>
    </row>
    <row r="17" customFormat="false" ht="23.85" hidden="false" customHeight="false" outlineLevel="0" collapsed="false">
      <c r="A17" s="5" t="s">
        <v>56</v>
      </c>
      <c r="B17" s="5" t="s">
        <v>16</v>
      </c>
      <c r="C17" s="5" t="s">
        <v>57</v>
      </c>
      <c r="D17" s="5" t="s">
        <v>58</v>
      </c>
      <c r="E17" s="6" t="n">
        <v>3</v>
      </c>
      <c r="F17" s="5" t="s">
        <v>19</v>
      </c>
      <c r="G17" s="5" t="s">
        <v>25</v>
      </c>
      <c r="H17" s="5" t="s">
        <v>59</v>
      </c>
      <c r="I17" s="7"/>
      <c r="J17" s="8"/>
      <c r="K17" s="9" t="str">
        <f aca="false">IF(J17="","",E17*J17)</f>
        <v/>
      </c>
      <c r="L17" s="7"/>
    </row>
    <row r="18" customFormat="false" ht="23.85" hidden="false" customHeight="false" outlineLevel="0" collapsed="false">
      <c r="A18" s="5" t="s">
        <v>60</v>
      </c>
      <c r="B18" s="5" t="s">
        <v>16</v>
      </c>
      <c r="C18" s="5" t="s">
        <v>61</v>
      </c>
      <c r="D18" s="5" t="s">
        <v>62</v>
      </c>
      <c r="E18" s="6" t="n">
        <v>30</v>
      </c>
      <c r="F18" s="5" t="s">
        <v>54</v>
      </c>
      <c r="G18" s="5" t="s">
        <v>25</v>
      </c>
      <c r="H18" s="5" t="s">
        <v>21</v>
      </c>
      <c r="I18" s="7"/>
      <c r="J18" s="8"/>
      <c r="K18" s="9" t="str">
        <f aca="false">IF(J18="","",E18*J18)</f>
        <v/>
      </c>
      <c r="L18" s="7"/>
    </row>
    <row r="19" customFormat="false" ht="23.85" hidden="false" customHeight="false" outlineLevel="0" collapsed="false">
      <c r="A19" s="5" t="s">
        <v>63</v>
      </c>
      <c r="B19" s="5" t="s">
        <v>16</v>
      </c>
      <c r="C19" s="5" t="s">
        <v>64</v>
      </c>
      <c r="D19" s="5" t="s">
        <v>65</v>
      </c>
      <c r="E19" s="6" t="n">
        <v>1</v>
      </c>
      <c r="F19" s="5" t="s">
        <v>19</v>
      </c>
      <c r="G19" s="5" t="s">
        <v>25</v>
      </c>
      <c r="H19" s="5" t="s">
        <v>66</v>
      </c>
      <c r="I19" s="7"/>
      <c r="J19" s="8"/>
      <c r="K19" s="9" t="str">
        <f aca="false">IF(J19="","",E19*J19)</f>
        <v/>
      </c>
      <c r="L19" s="7"/>
    </row>
    <row r="20" customFormat="false" ht="23.85" hidden="false" customHeight="false" outlineLevel="0" collapsed="false">
      <c r="A20" s="5" t="s">
        <v>67</v>
      </c>
      <c r="B20" s="5" t="s">
        <v>16</v>
      </c>
      <c r="C20" s="5" t="s">
        <v>68</v>
      </c>
      <c r="D20" s="5" t="s">
        <v>69</v>
      </c>
      <c r="E20" s="6" t="n">
        <v>1</v>
      </c>
      <c r="F20" s="5" t="s">
        <v>19</v>
      </c>
      <c r="G20" s="5" t="s">
        <v>25</v>
      </c>
      <c r="H20" s="5" t="s">
        <v>70</v>
      </c>
      <c r="I20" s="7"/>
      <c r="J20" s="8"/>
      <c r="K20" s="9" t="str">
        <f aca="false">IF(J20="","",E20*J20)</f>
        <v/>
      </c>
      <c r="L20" s="7"/>
    </row>
    <row r="21" customFormat="false" ht="23.85" hidden="false" customHeight="false" outlineLevel="0" collapsed="false">
      <c r="A21" s="5" t="s">
        <v>71</v>
      </c>
      <c r="B21" s="5" t="s">
        <v>16</v>
      </c>
      <c r="C21" s="5" t="s">
        <v>72</v>
      </c>
      <c r="D21" s="5" t="s">
        <v>73</v>
      </c>
      <c r="E21" s="6" t="n">
        <v>1</v>
      </c>
      <c r="F21" s="5" t="s">
        <v>19</v>
      </c>
      <c r="G21" s="5" t="s">
        <v>25</v>
      </c>
      <c r="H21" s="5" t="s">
        <v>74</v>
      </c>
      <c r="I21" s="7"/>
      <c r="J21" s="8"/>
      <c r="K21" s="9" t="str">
        <f aca="false">IF(J21="","",E21*J21)</f>
        <v/>
      </c>
      <c r="L21" s="7"/>
    </row>
    <row r="22" customFormat="false" ht="23.85" hidden="false" customHeight="false" outlineLevel="0" collapsed="false">
      <c r="A22" s="5" t="s">
        <v>75</v>
      </c>
      <c r="B22" s="5" t="s">
        <v>76</v>
      </c>
      <c r="C22" s="5" t="s">
        <v>77</v>
      </c>
      <c r="D22" s="5" t="s">
        <v>78</v>
      </c>
      <c r="E22" s="6" t="n">
        <v>220</v>
      </c>
      <c r="F22" s="5" t="s">
        <v>54</v>
      </c>
      <c r="G22" s="5" t="s">
        <v>79</v>
      </c>
      <c r="H22" s="5" t="s">
        <v>80</v>
      </c>
      <c r="I22" s="7"/>
      <c r="J22" s="8"/>
      <c r="K22" s="9" t="str">
        <f aca="false">IF(J22="","",E22*J22)</f>
        <v/>
      </c>
      <c r="L22" s="7"/>
    </row>
    <row r="23" customFormat="false" ht="23.85" hidden="false" customHeight="false" outlineLevel="0" collapsed="false">
      <c r="A23" s="5" t="s">
        <v>81</v>
      </c>
      <c r="B23" s="5" t="s">
        <v>76</v>
      </c>
      <c r="C23" s="5" t="s">
        <v>82</v>
      </c>
      <c r="D23" s="5" t="s">
        <v>83</v>
      </c>
      <c r="E23" s="6" t="n">
        <v>230</v>
      </c>
      <c r="F23" s="5" t="s">
        <v>54</v>
      </c>
      <c r="G23" s="5" t="s">
        <v>79</v>
      </c>
      <c r="H23" s="5" t="s">
        <v>84</v>
      </c>
      <c r="I23" s="7"/>
      <c r="J23" s="8"/>
      <c r="K23" s="9" t="str">
        <f aca="false">IF(J23="","",E23*J23)</f>
        <v/>
      </c>
      <c r="L23" s="7"/>
    </row>
    <row r="24" customFormat="false" ht="23.85" hidden="false" customHeight="false" outlineLevel="0" collapsed="false">
      <c r="A24" s="5" t="s">
        <v>85</v>
      </c>
      <c r="B24" s="5" t="s">
        <v>76</v>
      </c>
      <c r="C24" s="5" t="s">
        <v>86</v>
      </c>
      <c r="D24" s="5" t="s">
        <v>87</v>
      </c>
      <c r="E24" s="6" t="n">
        <v>12</v>
      </c>
      <c r="F24" s="5" t="s">
        <v>19</v>
      </c>
      <c r="G24" s="5" t="s">
        <v>88</v>
      </c>
      <c r="H24" s="5" t="s">
        <v>89</v>
      </c>
      <c r="I24" s="7"/>
      <c r="J24" s="8"/>
      <c r="K24" s="9" t="str">
        <f aca="false">IF(J24="","",E24*J24)</f>
        <v/>
      </c>
      <c r="L24" s="7"/>
    </row>
    <row r="25" customFormat="false" ht="15" hidden="false" customHeight="false" outlineLevel="0" collapsed="false">
      <c r="A25" s="5" t="s">
        <v>90</v>
      </c>
      <c r="B25" s="5" t="s">
        <v>76</v>
      </c>
      <c r="C25" s="5" t="s">
        <v>91</v>
      </c>
      <c r="D25" s="5" t="s">
        <v>92</v>
      </c>
      <c r="E25" s="6" t="n">
        <v>8</v>
      </c>
      <c r="F25" s="5" t="s">
        <v>19</v>
      </c>
      <c r="G25" s="5" t="s">
        <v>88</v>
      </c>
      <c r="H25" s="5" t="s">
        <v>21</v>
      </c>
      <c r="I25" s="7"/>
      <c r="J25" s="8"/>
      <c r="K25" s="9" t="str">
        <f aca="false">IF(J25="","",E25*J25)</f>
        <v/>
      </c>
      <c r="L25" s="7"/>
    </row>
    <row r="26" customFormat="false" ht="15" hidden="false" customHeight="false" outlineLevel="0" collapsed="false">
      <c r="A26" s="5" t="s">
        <v>93</v>
      </c>
      <c r="B26" s="5" t="s">
        <v>76</v>
      </c>
      <c r="C26" s="5" t="s">
        <v>94</v>
      </c>
      <c r="D26" s="5" t="s">
        <v>95</v>
      </c>
      <c r="E26" s="6" t="n">
        <v>4</v>
      </c>
      <c r="F26" s="5" t="s">
        <v>19</v>
      </c>
      <c r="G26" s="5" t="s">
        <v>88</v>
      </c>
      <c r="H26" s="5" t="s">
        <v>21</v>
      </c>
      <c r="I26" s="7"/>
      <c r="J26" s="8"/>
      <c r="K26" s="9" t="str">
        <f aca="false">IF(J26="","",E26*J26)</f>
        <v/>
      </c>
      <c r="L26" s="7"/>
    </row>
    <row r="27" customFormat="false" ht="15" hidden="false" customHeight="false" outlineLevel="0" collapsed="false">
      <c r="A27" s="5" t="s">
        <v>96</v>
      </c>
      <c r="B27" s="5" t="s">
        <v>76</v>
      </c>
      <c r="C27" s="5" t="s">
        <v>97</v>
      </c>
      <c r="D27" s="5" t="s">
        <v>98</v>
      </c>
      <c r="E27" s="6" t="n">
        <v>4</v>
      </c>
      <c r="F27" s="5" t="s">
        <v>19</v>
      </c>
      <c r="G27" s="5" t="s">
        <v>88</v>
      </c>
      <c r="H27" s="5" t="s">
        <v>21</v>
      </c>
      <c r="I27" s="7"/>
      <c r="J27" s="8"/>
      <c r="K27" s="9" t="str">
        <f aca="false">IF(J27="","",E27*J27)</f>
        <v/>
      </c>
      <c r="L27" s="7"/>
    </row>
    <row r="28" customFormat="false" ht="15" hidden="false" customHeight="false" outlineLevel="0" collapsed="false">
      <c r="A28" s="5" t="s">
        <v>99</v>
      </c>
      <c r="B28" s="5" t="s">
        <v>76</v>
      </c>
      <c r="C28" s="5" t="s">
        <v>100</v>
      </c>
      <c r="D28" s="5" t="s">
        <v>101</v>
      </c>
      <c r="E28" s="6" t="n">
        <v>4</v>
      </c>
      <c r="F28" s="5" t="s">
        <v>19</v>
      </c>
      <c r="G28" s="5" t="s">
        <v>102</v>
      </c>
      <c r="H28" s="5" t="s">
        <v>103</v>
      </c>
      <c r="I28" s="7"/>
      <c r="J28" s="8"/>
      <c r="K28" s="9" t="str">
        <f aca="false">IF(J28="","",E28*J28)</f>
        <v/>
      </c>
      <c r="L28" s="7"/>
    </row>
    <row r="29" customFormat="false" ht="15" hidden="false" customHeight="false" outlineLevel="0" collapsed="false">
      <c r="A29" s="5" t="s">
        <v>104</v>
      </c>
      <c r="B29" s="5" t="s">
        <v>76</v>
      </c>
      <c r="C29" s="5" t="s">
        <v>105</v>
      </c>
      <c r="D29" s="5" t="s">
        <v>106</v>
      </c>
      <c r="E29" s="6" t="n">
        <v>6</v>
      </c>
      <c r="F29" s="5" t="s">
        <v>19</v>
      </c>
      <c r="G29" s="5" t="s">
        <v>107</v>
      </c>
      <c r="H29" s="5" t="s">
        <v>21</v>
      </c>
      <c r="I29" s="7"/>
      <c r="J29" s="8"/>
      <c r="K29" s="9" t="str">
        <f aca="false">IF(J29="","",E29*J29)</f>
        <v/>
      </c>
      <c r="L29" s="7"/>
    </row>
    <row r="30" customFormat="false" ht="15" hidden="false" customHeight="false" outlineLevel="0" collapsed="false">
      <c r="A30" s="5" t="s">
        <v>108</v>
      </c>
      <c r="B30" s="5" t="s">
        <v>76</v>
      </c>
      <c r="C30" s="5" t="s">
        <v>109</v>
      </c>
      <c r="D30" s="5" t="s">
        <v>110</v>
      </c>
      <c r="E30" s="6" t="n">
        <v>4</v>
      </c>
      <c r="F30" s="5" t="s">
        <v>19</v>
      </c>
      <c r="G30" s="5" t="s">
        <v>111</v>
      </c>
      <c r="H30" s="5" t="s">
        <v>112</v>
      </c>
      <c r="I30" s="7"/>
      <c r="J30" s="8"/>
      <c r="K30" s="9" t="str">
        <f aca="false">IF(J30="","",E30*J30)</f>
        <v/>
      </c>
      <c r="L30" s="7"/>
    </row>
    <row r="31" customFormat="false" ht="15" hidden="false" customHeight="false" outlineLevel="0" collapsed="false">
      <c r="A31" s="5" t="s">
        <v>113</v>
      </c>
      <c r="B31" s="5" t="s">
        <v>76</v>
      </c>
      <c r="C31" s="5" t="s">
        <v>114</v>
      </c>
      <c r="D31" s="5" t="s">
        <v>115</v>
      </c>
      <c r="E31" s="6" t="n">
        <v>1</v>
      </c>
      <c r="F31" s="5" t="s">
        <v>19</v>
      </c>
      <c r="G31" s="5" t="s">
        <v>116</v>
      </c>
      <c r="H31" s="5" t="s">
        <v>117</v>
      </c>
      <c r="I31" s="7"/>
      <c r="J31" s="8"/>
      <c r="K31" s="9" t="str">
        <f aca="false">IF(J31="","",E31*J31)</f>
        <v/>
      </c>
      <c r="L31" s="7"/>
    </row>
    <row r="32" customFormat="false" ht="15" hidden="false" customHeight="false" outlineLevel="0" collapsed="false">
      <c r="A32" s="5" t="s">
        <v>118</v>
      </c>
      <c r="B32" s="5" t="s">
        <v>76</v>
      </c>
      <c r="C32" s="5" t="s">
        <v>119</v>
      </c>
      <c r="D32" s="5" t="s">
        <v>120</v>
      </c>
      <c r="E32" s="6" t="n">
        <v>2</v>
      </c>
      <c r="F32" s="5" t="s">
        <v>19</v>
      </c>
      <c r="G32" s="5" t="s">
        <v>102</v>
      </c>
      <c r="H32" s="5" t="s">
        <v>121</v>
      </c>
      <c r="I32" s="7"/>
      <c r="J32" s="8"/>
      <c r="K32" s="9" t="str">
        <f aca="false">IF(J32="","",E32*J32)</f>
        <v/>
      </c>
      <c r="L32" s="7"/>
    </row>
    <row r="33" customFormat="false" ht="15" hidden="false" customHeight="false" outlineLevel="0" collapsed="false">
      <c r="A33" s="5" t="s">
        <v>122</v>
      </c>
      <c r="B33" s="5" t="s">
        <v>76</v>
      </c>
      <c r="C33" s="5" t="s">
        <v>123</v>
      </c>
      <c r="D33" s="5" t="s">
        <v>124</v>
      </c>
      <c r="E33" s="6" t="n">
        <v>2</v>
      </c>
      <c r="F33" s="5" t="s">
        <v>19</v>
      </c>
      <c r="G33" s="5" t="s">
        <v>125</v>
      </c>
      <c r="H33" s="5" t="s">
        <v>126</v>
      </c>
      <c r="I33" s="7"/>
      <c r="J33" s="8"/>
      <c r="K33" s="9" t="str">
        <f aca="false">IF(J33="","",E33*J33)</f>
        <v/>
      </c>
      <c r="L33" s="7"/>
    </row>
    <row r="34" customFormat="false" ht="15" hidden="false" customHeight="false" outlineLevel="0" collapsed="false">
      <c r="A34" s="5" t="s">
        <v>127</v>
      </c>
      <c r="B34" s="5" t="s">
        <v>76</v>
      </c>
      <c r="C34" s="5" t="s">
        <v>128</v>
      </c>
      <c r="D34" s="5" t="s">
        <v>129</v>
      </c>
      <c r="E34" s="6" t="n">
        <v>4</v>
      </c>
      <c r="F34" s="5" t="s">
        <v>130</v>
      </c>
      <c r="G34" s="5" t="s">
        <v>111</v>
      </c>
      <c r="H34" s="5" t="s">
        <v>131</v>
      </c>
      <c r="I34" s="7"/>
      <c r="J34" s="8"/>
      <c r="K34" s="9" t="str">
        <f aca="false">IF(J34="","",E34*J34)</f>
        <v/>
      </c>
      <c r="L34" s="7"/>
    </row>
    <row r="35" customFormat="false" ht="15" hidden="false" customHeight="false" outlineLevel="0" collapsed="false">
      <c r="A35" s="5" t="s">
        <v>132</v>
      </c>
      <c r="B35" s="5" t="s">
        <v>76</v>
      </c>
      <c r="C35" s="5" t="s">
        <v>133</v>
      </c>
      <c r="D35" s="5" t="s">
        <v>134</v>
      </c>
      <c r="E35" s="6" t="n">
        <v>220</v>
      </c>
      <c r="F35" s="5" t="s">
        <v>54</v>
      </c>
      <c r="G35" s="5" t="s">
        <v>111</v>
      </c>
      <c r="H35" s="5" t="s">
        <v>135</v>
      </c>
      <c r="I35" s="7"/>
      <c r="J35" s="8"/>
      <c r="K35" s="9" t="str">
        <f aca="false">IF(J35="","",E35*J35)</f>
        <v/>
      </c>
      <c r="L35" s="7"/>
    </row>
    <row r="36" customFormat="false" ht="23.85" hidden="false" customHeight="false" outlineLevel="0" collapsed="false">
      <c r="A36" s="5" t="s">
        <v>136</v>
      </c>
      <c r="B36" s="5" t="s">
        <v>137</v>
      </c>
      <c r="C36" s="5" t="s">
        <v>138</v>
      </c>
      <c r="D36" s="5" t="s">
        <v>139</v>
      </c>
      <c r="E36" s="6" t="n">
        <v>2</v>
      </c>
      <c r="F36" s="5" t="s">
        <v>19</v>
      </c>
      <c r="G36" s="5" t="s">
        <v>116</v>
      </c>
      <c r="H36" s="5" t="s">
        <v>140</v>
      </c>
      <c r="I36" s="7"/>
      <c r="J36" s="8"/>
      <c r="K36" s="9" t="str">
        <f aca="false">IF(J36="","",E36*J36)</f>
        <v/>
      </c>
      <c r="L36" s="7"/>
    </row>
    <row r="37" customFormat="false" ht="23.85" hidden="false" customHeight="false" outlineLevel="0" collapsed="false">
      <c r="A37" s="5" t="s">
        <v>141</v>
      </c>
      <c r="B37" s="5" t="s">
        <v>137</v>
      </c>
      <c r="C37" s="5" t="s">
        <v>142</v>
      </c>
      <c r="D37" s="5" t="s">
        <v>143</v>
      </c>
      <c r="E37" s="6" t="n">
        <v>2</v>
      </c>
      <c r="F37" s="5" t="s">
        <v>19</v>
      </c>
      <c r="G37" s="5" t="s">
        <v>116</v>
      </c>
      <c r="H37" s="5" t="s">
        <v>144</v>
      </c>
      <c r="I37" s="7"/>
      <c r="J37" s="8"/>
      <c r="K37" s="9" t="str">
        <f aca="false">IF(J37="","",E37*J37)</f>
        <v/>
      </c>
      <c r="L37" s="7"/>
    </row>
    <row r="38" customFormat="false" ht="23.85" hidden="false" customHeight="false" outlineLevel="0" collapsed="false">
      <c r="A38" s="5" t="s">
        <v>145</v>
      </c>
      <c r="B38" s="5" t="s">
        <v>137</v>
      </c>
      <c r="C38" s="5" t="s">
        <v>146</v>
      </c>
      <c r="D38" s="5" t="s">
        <v>147</v>
      </c>
      <c r="E38" s="6" t="n">
        <v>2</v>
      </c>
      <c r="F38" s="5" t="s">
        <v>19</v>
      </c>
      <c r="G38" s="5" t="s">
        <v>116</v>
      </c>
      <c r="H38" s="5" t="s">
        <v>21</v>
      </c>
      <c r="I38" s="7"/>
      <c r="J38" s="8"/>
      <c r="K38" s="9" t="str">
        <f aca="false">IF(J38="","",E38*J38)</f>
        <v/>
      </c>
      <c r="L38" s="7"/>
    </row>
    <row r="39" customFormat="false" ht="23.85" hidden="false" customHeight="false" outlineLevel="0" collapsed="false">
      <c r="A39" s="5" t="s">
        <v>148</v>
      </c>
      <c r="B39" s="5" t="s">
        <v>137</v>
      </c>
      <c r="C39" s="5" t="s">
        <v>149</v>
      </c>
      <c r="D39" s="5" t="s">
        <v>150</v>
      </c>
      <c r="E39" s="6" t="n">
        <v>4</v>
      </c>
      <c r="F39" s="5" t="s">
        <v>19</v>
      </c>
      <c r="G39" s="5" t="s">
        <v>116</v>
      </c>
      <c r="H39" s="5" t="s">
        <v>140</v>
      </c>
      <c r="I39" s="7"/>
      <c r="J39" s="8"/>
      <c r="K39" s="9" t="str">
        <f aca="false">IF(J39="","",E39*J39)</f>
        <v/>
      </c>
      <c r="L39" s="7"/>
    </row>
    <row r="40" customFormat="false" ht="23.85" hidden="false" customHeight="false" outlineLevel="0" collapsed="false">
      <c r="A40" s="5" t="s">
        <v>151</v>
      </c>
      <c r="B40" s="5" t="s">
        <v>137</v>
      </c>
      <c r="C40" s="5" t="s">
        <v>152</v>
      </c>
      <c r="D40" s="5" t="s">
        <v>153</v>
      </c>
      <c r="E40" s="6" t="n">
        <v>2</v>
      </c>
      <c r="F40" s="5" t="s">
        <v>50</v>
      </c>
      <c r="G40" s="5" t="s">
        <v>116</v>
      </c>
      <c r="H40" s="5" t="s">
        <v>154</v>
      </c>
      <c r="I40" s="7"/>
      <c r="J40" s="8"/>
      <c r="K40" s="9" t="str">
        <f aca="false">IF(J40="","",E40*J40)</f>
        <v/>
      </c>
      <c r="L40" s="7"/>
    </row>
    <row r="41" customFormat="false" ht="23.85" hidden="false" customHeight="false" outlineLevel="0" collapsed="false">
      <c r="A41" s="5" t="s">
        <v>155</v>
      </c>
      <c r="B41" s="5" t="s">
        <v>137</v>
      </c>
      <c r="C41" s="5" t="s">
        <v>156</v>
      </c>
      <c r="D41" s="5" t="s">
        <v>157</v>
      </c>
      <c r="E41" s="6" t="n">
        <v>1</v>
      </c>
      <c r="F41" s="5" t="s">
        <v>19</v>
      </c>
      <c r="G41" s="5" t="s">
        <v>116</v>
      </c>
      <c r="H41" s="5" t="s">
        <v>21</v>
      </c>
      <c r="I41" s="7"/>
      <c r="J41" s="8"/>
      <c r="K41" s="9" t="str">
        <f aca="false">IF(J41="","",E41*J41)</f>
        <v/>
      </c>
      <c r="L41" s="7"/>
    </row>
    <row r="42" customFormat="false" ht="23.85" hidden="false" customHeight="false" outlineLevel="0" collapsed="false">
      <c r="A42" s="5" t="s">
        <v>158</v>
      </c>
      <c r="B42" s="5" t="s">
        <v>137</v>
      </c>
      <c r="C42" s="5" t="s">
        <v>159</v>
      </c>
      <c r="D42" s="5" t="s">
        <v>160</v>
      </c>
      <c r="E42" s="6" t="n">
        <v>1</v>
      </c>
      <c r="F42" s="5" t="s">
        <v>19</v>
      </c>
      <c r="G42" s="5" t="s">
        <v>116</v>
      </c>
      <c r="H42" s="5" t="s">
        <v>21</v>
      </c>
      <c r="I42" s="7"/>
      <c r="J42" s="8"/>
      <c r="K42" s="9" t="str">
        <f aca="false">IF(J42="","",E42*J42)</f>
        <v/>
      </c>
      <c r="L42" s="7"/>
    </row>
    <row r="43" customFormat="false" ht="23.85" hidden="false" customHeight="false" outlineLevel="0" collapsed="false">
      <c r="A43" s="5" t="s">
        <v>161</v>
      </c>
      <c r="B43" s="5" t="s">
        <v>137</v>
      </c>
      <c r="C43" s="5" t="s">
        <v>162</v>
      </c>
      <c r="D43" s="5" t="s">
        <v>163</v>
      </c>
      <c r="E43" s="6" t="n">
        <v>1</v>
      </c>
      <c r="F43" s="5" t="s">
        <v>130</v>
      </c>
      <c r="G43" s="5" t="s">
        <v>116</v>
      </c>
      <c r="H43" s="5" t="s">
        <v>21</v>
      </c>
      <c r="I43" s="7"/>
      <c r="J43" s="8"/>
      <c r="K43" s="9" t="str">
        <f aca="false">IF(J43="","",E43*J43)</f>
        <v/>
      </c>
      <c r="L43" s="7"/>
    </row>
    <row r="44" customFormat="false" ht="23.85" hidden="false" customHeight="false" outlineLevel="0" collapsed="false">
      <c r="A44" s="5" t="s">
        <v>164</v>
      </c>
      <c r="B44" s="5" t="s">
        <v>137</v>
      </c>
      <c r="C44" s="5" t="s">
        <v>165</v>
      </c>
      <c r="D44" s="5" t="s">
        <v>166</v>
      </c>
      <c r="E44" s="6" t="n">
        <v>2</v>
      </c>
      <c r="F44" s="5" t="s">
        <v>19</v>
      </c>
      <c r="G44" s="5" t="s">
        <v>79</v>
      </c>
      <c r="H44" s="5" t="s">
        <v>167</v>
      </c>
      <c r="I44" s="7"/>
      <c r="J44" s="8"/>
      <c r="K44" s="9" t="str">
        <f aca="false">IF(J44="","",E44*J44)</f>
        <v/>
      </c>
      <c r="L44" s="7"/>
    </row>
    <row r="45" customFormat="false" ht="23.85" hidden="false" customHeight="false" outlineLevel="0" collapsed="false">
      <c r="A45" s="5" t="s">
        <v>168</v>
      </c>
      <c r="B45" s="5" t="s">
        <v>169</v>
      </c>
      <c r="C45" s="5" t="s">
        <v>170</v>
      </c>
      <c r="D45" s="5" t="s">
        <v>171</v>
      </c>
      <c r="E45" s="6" t="n">
        <v>1</v>
      </c>
      <c r="F45" s="5" t="s">
        <v>19</v>
      </c>
      <c r="G45" s="5" t="s">
        <v>111</v>
      </c>
      <c r="H45" s="5" t="s">
        <v>172</v>
      </c>
      <c r="I45" s="7"/>
      <c r="J45" s="8"/>
      <c r="K45" s="9" t="str">
        <f aca="false">IF(J45="","",E45*J45)</f>
        <v/>
      </c>
      <c r="L45" s="7"/>
    </row>
    <row r="46" customFormat="false" ht="15" hidden="false" customHeight="false" outlineLevel="0" collapsed="false">
      <c r="A46" s="5" t="s">
        <v>173</v>
      </c>
      <c r="B46" s="5" t="s">
        <v>169</v>
      </c>
      <c r="C46" s="5" t="s">
        <v>174</v>
      </c>
      <c r="D46" s="5" t="s">
        <v>175</v>
      </c>
      <c r="E46" s="6" t="n">
        <v>2</v>
      </c>
      <c r="F46" s="5" t="s">
        <v>19</v>
      </c>
      <c r="G46" s="5" t="s">
        <v>111</v>
      </c>
      <c r="H46" s="5" t="s">
        <v>176</v>
      </c>
      <c r="I46" s="7"/>
      <c r="J46" s="8"/>
      <c r="K46" s="9" t="str">
        <f aca="false">IF(J46="","",E46*J46)</f>
        <v/>
      </c>
      <c r="L46" s="7"/>
    </row>
    <row r="47" customFormat="false" ht="15" hidden="false" customHeight="false" outlineLevel="0" collapsed="false">
      <c r="A47" s="5" t="s">
        <v>177</v>
      </c>
      <c r="B47" s="5" t="s">
        <v>169</v>
      </c>
      <c r="C47" s="5" t="s">
        <v>178</v>
      </c>
      <c r="D47" s="5" t="s">
        <v>179</v>
      </c>
      <c r="E47" s="6" t="n">
        <v>4</v>
      </c>
      <c r="F47" s="5" t="s">
        <v>19</v>
      </c>
      <c r="G47" s="5" t="s">
        <v>111</v>
      </c>
      <c r="H47" s="5" t="s">
        <v>180</v>
      </c>
      <c r="I47" s="7"/>
      <c r="J47" s="8"/>
      <c r="K47" s="9" t="str">
        <f aca="false">IF(J47="","",E47*J47)</f>
        <v/>
      </c>
      <c r="L47" s="7"/>
    </row>
    <row r="48" customFormat="false" ht="23.85" hidden="false" customHeight="false" outlineLevel="0" collapsed="false">
      <c r="A48" s="5" t="s">
        <v>181</v>
      </c>
      <c r="B48" s="5" t="s">
        <v>182</v>
      </c>
      <c r="C48" s="5" t="s">
        <v>183</v>
      </c>
      <c r="D48" s="5" t="s">
        <v>184</v>
      </c>
      <c r="E48" s="6" t="n">
        <v>2</v>
      </c>
      <c r="F48" s="5" t="s">
        <v>185</v>
      </c>
      <c r="G48" s="5" t="s">
        <v>125</v>
      </c>
      <c r="H48" s="5" t="s">
        <v>140</v>
      </c>
      <c r="I48" s="7"/>
      <c r="J48" s="8"/>
      <c r="K48" s="9" t="str">
        <f aca="false">IF(J48="","",E48*J48)</f>
        <v/>
      </c>
      <c r="L48" s="7"/>
    </row>
    <row r="49" customFormat="false" ht="23.85" hidden="false" customHeight="false" outlineLevel="0" collapsed="false">
      <c r="A49" s="5" t="s">
        <v>186</v>
      </c>
      <c r="B49" s="5" t="s">
        <v>182</v>
      </c>
      <c r="C49" s="5" t="s">
        <v>187</v>
      </c>
      <c r="D49" s="5" t="s">
        <v>188</v>
      </c>
      <c r="E49" s="6" t="n">
        <v>1</v>
      </c>
      <c r="F49" s="5" t="s">
        <v>19</v>
      </c>
      <c r="G49" s="5" t="s">
        <v>125</v>
      </c>
      <c r="H49" s="5" t="s">
        <v>140</v>
      </c>
      <c r="I49" s="7"/>
      <c r="J49" s="8"/>
      <c r="K49" s="9" t="str">
        <f aca="false">IF(J49="","",E49*J49)</f>
        <v/>
      </c>
      <c r="L49" s="7"/>
    </row>
    <row r="50" customFormat="false" ht="23.85" hidden="false" customHeight="false" outlineLevel="0" collapsed="false">
      <c r="A50" s="5" t="s">
        <v>189</v>
      </c>
      <c r="B50" s="5" t="s">
        <v>182</v>
      </c>
      <c r="C50" s="5" t="s">
        <v>190</v>
      </c>
      <c r="D50" s="5" t="s">
        <v>191</v>
      </c>
      <c r="E50" s="6" t="n">
        <v>4</v>
      </c>
      <c r="F50" s="5" t="s">
        <v>19</v>
      </c>
      <c r="G50" s="5" t="s">
        <v>125</v>
      </c>
      <c r="H50" s="5" t="s">
        <v>140</v>
      </c>
      <c r="I50" s="7"/>
      <c r="J50" s="8"/>
      <c r="K50" s="9" t="str">
        <f aca="false">IF(J50="","",E50*J50)</f>
        <v/>
      </c>
      <c r="L50" s="7"/>
    </row>
    <row r="51" customFormat="false" ht="23.85" hidden="false" customHeight="false" outlineLevel="0" collapsed="false">
      <c r="A51" s="5" t="s">
        <v>192</v>
      </c>
      <c r="B51" s="5" t="s">
        <v>182</v>
      </c>
      <c r="C51" s="5" t="s">
        <v>193</v>
      </c>
      <c r="D51" s="5" t="s">
        <v>194</v>
      </c>
      <c r="E51" s="6" t="n">
        <v>2</v>
      </c>
      <c r="F51" s="5" t="s">
        <v>185</v>
      </c>
      <c r="G51" s="5" t="s">
        <v>125</v>
      </c>
      <c r="H51" s="5" t="s">
        <v>140</v>
      </c>
      <c r="I51" s="7"/>
      <c r="J51" s="8"/>
      <c r="K51" s="9" t="str">
        <f aca="false">IF(J51="","",E51*J51)</f>
        <v/>
      </c>
      <c r="L51" s="7"/>
    </row>
    <row r="52" customFormat="false" ht="23.85" hidden="false" customHeight="false" outlineLevel="0" collapsed="false">
      <c r="A52" s="5" t="s">
        <v>195</v>
      </c>
      <c r="B52" s="5" t="s">
        <v>182</v>
      </c>
      <c r="C52" s="5" t="s">
        <v>196</v>
      </c>
      <c r="D52" s="5" t="s">
        <v>197</v>
      </c>
      <c r="E52" s="6" t="n">
        <v>1</v>
      </c>
      <c r="F52" s="5" t="s">
        <v>19</v>
      </c>
      <c r="G52" s="5" t="s">
        <v>125</v>
      </c>
      <c r="H52" s="5" t="s">
        <v>21</v>
      </c>
      <c r="I52" s="7"/>
      <c r="J52" s="8"/>
      <c r="K52" s="9" t="str">
        <f aca="false">IF(J52="","",E52*J52)</f>
        <v/>
      </c>
      <c r="L52" s="7"/>
    </row>
    <row r="53" customFormat="false" ht="23.85" hidden="false" customHeight="false" outlineLevel="0" collapsed="false">
      <c r="A53" s="5" t="s">
        <v>198</v>
      </c>
      <c r="B53" s="5" t="s">
        <v>182</v>
      </c>
      <c r="C53" s="5" t="s">
        <v>199</v>
      </c>
      <c r="D53" s="5" t="s">
        <v>200</v>
      </c>
      <c r="E53" s="6" t="n">
        <v>1</v>
      </c>
      <c r="F53" s="5" t="s">
        <v>50</v>
      </c>
      <c r="G53" s="5" t="s">
        <v>125</v>
      </c>
      <c r="H53" s="5" t="s">
        <v>21</v>
      </c>
      <c r="I53" s="7"/>
      <c r="J53" s="8"/>
      <c r="K53" s="9" t="str">
        <f aca="false">IF(J53="","",E53*J53)</f>
        <v/>
      </c>
      <c r="L53" s="7"/>
    </row>
    <row r="54" customFormat="false" ht="23.85" hidden="false" customHeight="false" outlineLevel="0" collapsed="false">
      <c r="A54" s="5" t="s">
        <v>201</v>
      </c>
      <c r="B54" s="5" t="s">
        <v>182</v>
      </c>
      <c r="C54" s="5" t="s">
        <v>202</v>
      </c>
      <c r="D54" s="5" t="s">
        <v>203</v>
      </c>
      <c r="E54" s="6" t="n">
        <v>1</v>
      </c>
      <c r="F54" s="5" t="s">
        <v>19</v>
      </c>
      <c r="G54" s="5" t="s">
        <v>125</v>
      </c>
      <c r="H54" s="5" t="s">
        <v>21</v>
      </c>
      <c r="I54" s="7"/>
      <c r="J54" s="8"/>
      <c r="K54" s="9" t="str">
        <f aca="false">IF(J54="","",E54*J54)</f>
        <v/>
      </c>
      <c r="L54" s="7"/>
    </row>
    <row r="55" customFormat="false" ht="23.85" hidden="false" customHeight="false" outlineLevel="0" collapsed="false">
      <c r="A55" s="5" t="s">
        <v>204</v>
      </c>
      <c r="B55" s="5" t="s">
        <v>182</v>
      </c>
      <c r="C55" s="5" t="s">
        <v>205</v>
      </c>
      <c r="D55" s="5" t="s">
        <v>163</v>
      </c>
      <c r="E55" s="6" t="n">
        <v>2</v>
      </c>
      <c r="F55" s="5" t="s">
        <v>130</v>
      </c>
      <c r="G55" s="5" t="s">
        <v>125</v>
      </c>
      <c r="H55" s="5" t="s">
        <v>21</v>
      </c>
      <c r="I55" s="7"/>
      <c r="J55" s="8"/>
      <c r="K55" s="9" t="str">
        <f aca="false">IF(J55="","",E55*J55)</f>
        <v/>
      </c>
      <c r="L55" s="7"/>
    </row>
    <row r="56" customFormat="false" ht="15" hidden="false" customHeight="false" outlineLevel="0" collapsed="false">
      <c r="A56" s="5" t="s">
        <v>206</v>
      </c>
      <c r="B56" s="5" t="s">
        <v>207</v>
      </c>
      <c r="C56" s="5" t="s">
        <v>208</v>
      </c>
      <c r="D56" s="5" t="s">
        <v>209</v>
      </c>
      <c r="E56" s="6" t="n">
        <v>2</v>
      </c>
      <c r="F56" s="5" t="s">
        <v>19</v>
      </c>
      <c r="G56" s="5" t="s">
        <v>102</v>
      </c>
      <c r="H56" s="5" t="s">
        <v>21</v>
      </c>
      <c r="I56" s="7"/>
      <c r="J56" s="8"/>
      <c r="K56" s="9" t="str">
        <f aca="false">IF(J56="","",E56*J56)</f>
        <v/>
      </c>
      <c r="L56" s="7"/>
    </row>
    <row r="57" customFormat="false" ht="15" hidden="false" customHeight="false" outlineLevel="0" collapsed="false">
      <c r="A57" s="5" t="s">
        <v>210</v>
      </c>
      <c r="B57" s="5" t="s">
        <v>207</v>
      </c>
      <c r="C57" s="5" t="s">
        <v>211</v>
      </c>
      <c r="D57" s="5" t="s">
        <v>212</v>
      </c>
      <c r="E57" s="6" t="n">
        <v>2</v>
      </c>
      <c r="F57" s="5" t="s">
        <v>50</v>
      </c>
      <c r="G57" s="5" t="s">
        <v>213</v>
      </c>
      <c r="H57" s="5" t="s">
        <v>140</v>
      </c>
      <c r="I57" s="7"/>
      <c r="J57" s="8"/>
      <c r="K57" s="9" t="str">
        <f aca="false">IF(J57="","",E57*J57)</f>
        <v/>
      </c>
      <c r="L57" s="7"/>
    </row>
    <row r="58" customFormat="false" ht="23.85" hidden="false" customHeight="false" outlineLevel="0" collapsed="false">
      <c r="A58" s="5" t="s">
        <v>214</v>
      </c>
      <c r="B58" s="5" t="s">
        <v>207</v>
      </c>
      <c r="C58" s="5" t="s">
        <v>215</v>
      </c>
      <c r="D58" s="5" t="s">
        <v>216</v>
      </c>
      <c r="E58" s="6" t="n">
        <v>6</v>
      </c>
      <c r="F58" s="5" t="s">
        <v>19</v>
      </c>
      <c r="G58" s="5" t="s">
        <v>213</v>
      </c>
      <c r="H58" s="5" t="s">
        <v>21</v>
      </c>
      <c r="I58" s="7"/>
      <c r="J58" s="8"/>
      <c r="K58" s="9" t="str">
        <f aca="false">IF(J58="","",E58*J58)</f>
        <v/>
      </c>
      <c r="L58" s="7"/>
    </row>
    <row r="59" customFormat="false" ht="15" hidden="false" customHeight="false" outlineLevel="0" collapsed="false">
      <c r="A59" s="5" t="s">
        <v>217</v>
      </c>
      <c r="B59" s="5" t="s">
        <v>207</v>
      </c>
      <c r="C59" s="5" t="s">
        <v>218</v>
      </c>
      <c r="D59" s="5" t="s">
        <v>219</v>
      </c>
      <c r="E59" s="6" t="n">
        <v>1</v>
      </c>
      <c r="F59" s="5" t="s">
        <v>19</v>
      </c>
      <c r="G59" s="5" t="s">
        <v>213</v>
      </c>
      <c r="H59" s="5" t="s">
        <v>21</v>
      </c>
      <c r="I59" s="7"/>
      <c r="J59" s="8"/>
      <c r="K59" s="9" t="str">
        <f aca="false">IF(J59="","",E59*J59)</f>
        <v/>
      </c>
      <c r="L59" s="7"/>
    </row>
    <row r="60" customFormat="false" ht="15" hidden="false" customHeight="false" outlineLevel="0" collapsed="false">
      <c r="A60" s="5" t="s">
        <v>220</v>
      </c>
      <c r="B60" s="5" t="s">
        <v>207</v>
      </c>
      <c r="C60" s="5" t="s">
        <v>221</v>
      </c>
      <c r="D60" s="5" t="s">
        <v>222</v>
      </c>
      <c r="E60" s="6" t="n">
        <v>12</v>
      </c>
      <c r="F60" s="5" t="s">
        <v>19</v>
      </c>
      <c r="G60" s="5" t="s">
        <v>213</v>
      </c>
      <c r="H60" s="5" t="s">
        <v>223</v>
      </c>
      <c r="I60" s="7"/>
      <c r="J60" s="8"/>
      <c r="K60" s="9" t="str">
        <f aca="false">IF(J60="","",E60*J60)</f>
        <v/>
      </c>
      <c r="L60" s="7"/>
    </row>
    <row r="61" customFormat="false" ht="15" hidden="false" customHeight="false" outlineLevel="0" collapsed="false">
      <c r="A61" s="5" t="s">
        <v>224</v>
      </c>
      <c r="B61" s="5" t="s">
        <v>207</v>
      </c>
      <c r="C61" s="5" t="s">
        <v>225</v>
      </c>
      <c r="D61" s="5" t="s">
        <v>226</v>
      </c>
      <c r="E61" s="6" t="n">
        <v>30</v>
      </c>
      <c r="F61" s="5" t="s">
        <v>54</v>
      </c>
      <c r="G61" s="5" t="s">
        <v>213</v>
      </c>
      <c r="H61" s="5" t="s">
        <v>21</v>
      </c>
      <c r="I61" s="7"/>
      <c r="J61" s="8"/>
      <c r="K61" s="9" t="str">
        <f aca="false">IF(J61="","",E61*J61)</f>
        <v/>
      </c>
      <c r="L61" s="7"/>
    </row>
    <row r="62" customFormat="false" ht="23.85" hidden="false" customHeight="false" outlineLevel="0" collapsed="false">
      <c r="A62" s="5" t="s">
        <v>227</v>
      </c>
      <c r="B62" s="5" t="s">
        <v>207</v>
      </c>
      <c r="C62" s="5" t="s">
        <v>228</v>
      </c>
      <c r="D62" s="5" t="s">
        <v>229</v>
      </c>
      <c r="E62" s="6" t="n">
        <v>2</v>
      </c>
      <c r="F62" s="5" t="s">
        <v>19</v>
      </c>
      <c r="G62" s="5" t="s">
        <v>213</v>
      </c>
      <c r="H62" s="5" t="s">
        <v>230</v>
      </c>
      <c r="I62" s="7"/>
      <c r="J62" s="8"/>
      <c r="K62" s="9" t="str">
        <f aca="false">IF(J62="","",E62*J62)</f>
        <v/>
      </c>
      <c r="L62" s="7"/>
    </row>
    <row r="63" customFormat="false" ht="35.05" hidden="false" customHeight="false" outlineLevel="0" collapsed="false">
      <c r="A63" s="5" t="s">
        <v>231</v>
      </c>
      <c r="B63" s="5" t="s">
        <v>207</v>
      </c>
      <c r="C63" s="5" t="s">
        <v>232</v>
      </c>
      <c r="D63" s="5" t="s">
        <v>233</v>
      </c>
      <c r="E63" s="6" t="n">
        <v>1</v>
      </c>
      <c r="F63" s="5" t="s">
        <v>234</v>
      </c>
      <c r="G63" s="5" t="s">
        <v>88</v>
      </c>
      <c r="H63" s="5" t="s">
        <v>235</v>
      </c>
      <c r="I63" s="7"/>
      <c r="J63" s="8"/>
      <c r="K63" s="9" t="str">
        <f aca="false">IF(J63="","",E63*J63)</f>
        <v/>
      </c>
      <c r="L63" s="7"/>
    </row>
    <row r="64" customFormat="false" ht="23.85" hidden="false" customHeight="false" outlineLevel="0" collapsed="false">
      <c r="A64" s="5" t="s">
        <v>236</v>
      </c>
      <c r="B64" s="5" t="s">
        <v>237</v>
      </c>
      <c r="C64" s="5" t="s">
        <v>238</v>
      </c>
      <c r="D64" s="5" t="s">
        <v>239</v>
      </c>
      <c r="E64" s="6" t="n">
        <v>1</v>
      </c>
      <c r="F64" s="5" t="s">
        <v>19</v>
      </c>
      <c r="G64" s="5" t="s">
        <v>88</v>
      </c>
      <c r="H64" s="5" t="s">
        <v>21</v>
      </c>
      <c r="I64" s="7"/>
      <c r="J64" s="8"/>
      <c r="K64" s="9" t="str">
        <f aca="false">IF(J64="","",E64*J64)</f>
        <v/>
      </c>
      <c r="L64" s="7"/>
    </row>
    <row r="65" customFormat="false" ht="23.85" hidden="false" customHeight="false" outlineLevel="0" collapsed="false">
      <c r="A65" s="5" t="s">
        <v>240</v>
      </c>
      <c r="B65" s="5" t="s">
        <v>237</v>
      </c>
      <c r="C65" s="5" t="s">
        <v>241</v>
      </c>
      <c r="D65" s="5" t="s">
        <v>242</v>
      </c>
      <c r="E65" s="6" t="n">
        <v>1</v>
      </c>
      <c r="F65" s="5" t="s">
        <v>19</v>
      </c>
      <c r="G65" s="5" t="s">
        <v>88</v>
      </c>
      <c r="H65" s="5" t="s">
        <v>21</v>
      </c>
      <c r="I65" s="7"/>
      <c r="J65" s="8"/>
      <c r="K65" s="9" t="str">
        <f aca="false">IF(J65="","",E65*J65)</f>
        <v/>
      </c>
      <c r="L65" s="7"/>
    </row>
    <row r="66" customFormat="false" ht="23.85" hidden="false" customHeight="false" outlineLevel="0" collapsed="false">
      <c r="A66" s="5" t="s">
        <v>243</v>
      </c>
      <c r="B66" s="5" t="s">
        <v>237</v>
      </c>
      <c r="C66" s="5" t="s">
        <v>244</v>
      </c>
      <c r="D66" s="5" t="s">
        <v>245</v>
      </c>
      <c r="E66" s="6" t="n">
        <v>1</v>
      </c>
      <c r="F66" s="5" t="s">
        <v>19</v>
      </c>
      <c r="G66" s="5" t="s">
        <v>88</v>
      </c>
      <c r="H66" s="5" t="s">
        <v>246</v>
      </c>
      <c r="I66" s="7"/>
      <c r="J66" s="8"/>
      <c r="K66" s="9" t="str">
        <f aca="false">IF(J66="","",E66*J66)</f>
        <v/>
      </c>
      <c r="L66" s="7"/>
    </row>
    <row r="67" customFormat="false" ht="23.85" hidden="false" customHeight="false" outlineLevel="0" collapsed="false">
      <c r="A67" s="5" t="s">
        <v>247</v>
      </c>
      <c r="B67" s="5" t="s">
        <v>237</v>
      </c>
      <c r="C67" s="5" t="s">
        <v>248</v>
      </c>
      <c r="D67" s="5" t="s">
        <v>249</v>
      </c>
      <c r="E67" s="6" t="n">
        <v>1</v>
      </c>
      <c r="F67" s="5" t="s">
        <v>19</v>
      </c>
      <c r="G67" s="5" t="s">
        <v>88</v>
      </c>
      <c r="H67" s="5" t="s">
        <v>21</v>
      </c>
      <c r="I67" s="7"/>
      <c r="J67" s="8"/>
      <c r="K67" s="9" t="str">
        <f aca="false">IF(J67="","",E67*J67)</f>
        <v/>
      </c>
      <c r="L67" s="7"/>
    </row>
    <row r="68" customFormat="false" ht="23.85" hidden="false" customHeight="false" outlineLevel="0" collapsed="false">
      <c r="A68" s="5" t="s">
        <v>250</v>
      </c>
      <c r="B68" s="5" t="s">
        <v>237</v>
      </c>
      <c r="C68" s="5" t="s">
        <v>251</v>
      </c>
      <c r="D68" s="5" t="s">
        <v>252</v>
      </c>
      <c r="E68" s="6" t="n">
        <v>2</v>
      </c>
      <c r="F68" s="5" t="s">
        <v>19</v>
      </c>
      <c r="G68" s="5" t="s">
        <v>111</v>
      </c>
      <c r="H68" s="5" t="s">
        <v>21</v>
      </c>
      <c r="I68" s="7"/>
      <c r="J68" s="8"/>
      <c r="K68" s="9" t="str">
        <f aca="false">IF(J68="","",E68*J68)</f>
        <v/>
      </c>
      <c r="L68" s="7"/>
    </row>
    <row r="69" customFormat="false" ht="23.85" hidden="false" customHeight="false" outlineLevel="0" collapsed="false">
      <c r="A69" s="5" t="s">
        <v>253</v>
      </c>
      <c r="B69" s="5" t="s">
        <v>237</v>
      </c>
      <c r="C69" s="5" t="s">
        <v>254</v>
      </c>
      <c r="D69" s="5" t="s">
        <v>255</v>
      </c>
      <c r="E69" s="6" t="n">
        <v>1</v>
      </c>
      <c r="F69" s="5" t="s">
        <v>50</v>
      </c>
      <c r="G69" s="5" t="s">
        <v>111</v>
      </c>
      <c r="H69" s="5" t="s">
        <v>256</v>
      </c>
      <c r="I69" s="7"/>
      <c r="J69" s="8"/>
      <c r="K69" s="9" t="str">
        <f aca="false">IF(J69="","",E69*J69)</f>
        <v/>
      </c>
      <c r="L69" s="7"/>
    </row>
    <row r="70" customFormat="false" ht="23.85" hidden="false" customHeight="false" outlineLevel="0" collapsed="false">
      <c r="A70" s="5" t="s">
        <v>257</v>
      </c>
      <c r="B70" s="5" t="s">
        <v>237</v>
      </c>
      <c r="C70" s="5" t="s">
        <v>258</v>
      </c>
      <c r="D70" s="5" t="s">
        <v>259</v>
      </c>
      <c r="E70" s="6" t="n">
        <v>1</v>
      </c>
      <c r="F70" s="5" t="s">
        <v>50</v>
      </c>
      <c r="G70" s="5" t="s">
        <v>111</v>
      </c>
      <c r="H70" s="5" t="s">
        <v>260</v>
      </c>
      <c r="I70" s="7"/>
      <c r="J70" s="8"/>
      <c r="K70" s="9" t="str">
        <f aca="false">IF(J70="","",E70*J70)</f>
        <v/>
      </c>
      <c r="L70" s="7"/>
    </row>
    <row r="71" customFormat="false" ht="23.85" hidden="false" customHeight="false" outlineLevel="0" collapsed="false">
      <c r="A71" s="5" t="s">
        <v>261</v>
      </c>
      <c r="B71" s="5" t="s">
        <v>237</v>
      </c>
      <c r="C71" s="5" t="s">
        <v>262</v>
      </c>
      <c r="D71" s="5" t="s">
        <v>263</v>
      </c>
      <c r="E71" s="6" t="n">
        <v>2</v>
      </c>
      <c r="F71" s="5" t="s">
        <v>19</v>
      </c>
      <c r="G71" s="5" t="s">
        <v>88</v>
      </c>
      <c r="H71" s="5" t="s">
        <v>21</v>
      </c>
      <c r="I71" s="7"/>
      <c r="J71" s="8"/>
      <c r="K71" s="9" t="str">
        <f aca="false">IF(J71="","",E71*J71)</f>
        <v/>
      </c>
      <c r="L71" s="7"/>
    </row>
    <row r="72" customFormat="false" ht="23.85" hidden="false" customHeight="false" outlineLevel="0" collapsed="false">
      <c r="A72" s="5" t="s">
        <v>264</v>
      </c>
      <c r="B72" s="5" t="s">
        <v>265</v>
      </c>
      <c r="C72" s="5" t="s">
        <v>266</v>
      </c>
      <c r="D72" s="5" t="s">
        <v>267</v>
      </c>
      <c r="E72" s="6" t="n">
        <v>2</v>
      </c>
      <c r="F72" s="5" t="s">
        <v>19</v>
      </c>
      <c r="G72" s="5" t="s">
        <v>111</v>
      </c>
      <c r="H72" s="5" t="s">
        <v>268</v>
      </c>
      <c r="I72" s="7"/>
      <c r="J72" s="8"/>
      <c r="K72" s="9" t="str">
        <f aca="false">IF(J72="","",E72*J72)</f>
        <v/>
      </c>
      <c r="L72" s="7"/>
    </row>
    <row r="73" customFormat="false" ht="23.85" hidden="false" customHeight="false" outlineLevel="0" collapsed="false">
      <c r="A73" s="5" t="s">
        <v>269</v>
      </c>
      <c r="B73" s="5" t="s">
        <v>265</v>
      </c>
      <c r="C73" s="5" t="s">
        <v>270</v>
      </c>
      <c r="D73" s="5" t="s">
        <v>271</v>
      </c>
      <c r="E73" s="6" t="n">
        <v>4</v>
      </c>
      <c r="F73" s="5" t="s">
        <v>50</v>
      </c>
      <c r="G73" s="5" t="s">
        <v>111</v>
      </c>
      <c r="H73" s="5" t="s">
        <v>272</v>
      </c>
      <c r="I73" s="7"/>
      <c r="J73" s="8"/>
      <c r="K73" s="9" t="str">
        <f aca="false">IF(J73="","",E73*J73)</f>
        <v/>
      </c>
      <c r="L73" s="7"/>
    </row>
    <row r="74" customFormat="false" ht="23.85" hidden="false" customHeight="false" outlineLevel="0" collapsed="false">
      <c r="A74" s="5" t="s">
        <v>273</v>
      </c>
      <c r="B74" s="5" t="s">
        <v>265</v>
      </c>
      <c r="C74" s="5" t="s">
        <v>274</v>
      </c>
      <c r="D74" s="5" t="s">
        <v>275</v>
      </c>
      <c r="E74" s="6" t="n">
        <v>2</v>
      </c>
      <c r="F74" s="5" t="s">
        <v>19</v>
      </c>
      <c r="G74" s="5" t="s">
        <v>111</v>
      </c>
      <c r="H74" s="5" t="s">
        <v>276</v>
      </c>
      <c r="I74" s="7"/>
      <c r="J74" s="8"/>
      <c r="K74" s="9" t="str">
        <f aca="false">IF(J74="","",E74*J74)</f>
        <v/>
      </c>
      <c r="L74" s="7"/>
    </row>
    <row r="75" customFormat="false" ht="23.85" hidden="false" customHeight="false" outlineLevel="0" collapsed="false">
      <c r="A75" s="5" t="s">
        <v>277</v>
      </c>
      <c r="B75" s="5" t="s">
        <v>265</v>
      </c>
      <c r="C75" s="5" t="s">
        <v>278</v>
      </c>
      <c r="D75" s="5" t="s">
        <v>279</v>
      </c>
      <c r="E75" s="6" t="n">
        <v>4</v>
      </c>
      <c r="F75" s="5" t="s">
        <v>19</v>
      </c>
      <c r="G75" s="5" t="s">
        <v>111</v>
      </c>
      <c r="H75" s="5" t="s">
        <v>280</v>
      </c>
      <c r="I75" s="7"/>
      <c r="J75" s="8"/>
      <c r="K75" s="9" t="str">
        <f aca="false">IF(J75="","",E75*J75)</f>
        <v/>
      </c>
      <c r="L75" s="7"/>
    </row>
    <row r="76" customFormat="false" ht="23.85" hidden="false" customHeight="false" outlineLevel="0" collapsed="false">
      <c r="A76" s="5" t="s">
        <v>281</v>
      </c>
      <c r="B76" s="5" t="s">
        <v>265</v>
      </c>
      <c r="C76" s="5" t="s">
        <v>282</v>
      </c>
      <c r="D76" s="5" t="s">
        <v>283</v>
      </c>
      <c r="E76" s="6" t="n">
        <v>1</v>
      </c>
      <c r="F76" s="5" t="s">
        <v>284</v>
      </c>
      <c r="G76" s="5" t="s">
        <v>111</v>
      </c>
      <c r="H76" s="5" t="s">
        <v>21</v>
      </c>
      <c r="I76" s="7"/>
      <c r="J76" s="8"/>
      <c r="K76" s="9" t="str">
        <f aca="false">IF(J76="","",E76*J76)</f>
        <v/>
      </c>
      <c r="L76" s="7"/>
    </row>
    <row r="77" customFormat="false" ht="23.85" hidden="false" customHeight="false" outlineLevel="0" collapsed="false">
      <c r="A77" s="5" t="s">
        <v>285</v>
      </c>
      <c r="B77" s="5" t="s">
        <v>265</v>
      </c>
      <c r="C77" s="5" t="s">
        <v>286</v>
      </c>
      <c r="D77" s="5" t="s">
        <v>287</v>
      </c>
      <c r="E77" s="6" t="n">
        <v>1</v>
      </c>
      <c r="F77" s="5" t="s">
        <v>19</v>
      </c>
      <c r="G77" s="5" t="s">
        <v>111</v>
      </c>
      <c r="H77" s="5" t="s">
        <v>21</v>
      </c>
      <c r="I77" s="7"/>
      <c r="J77" s="8"/>
      <c r="K77" s="9" t="str">
        <f aca="false">IF(J77="","",E77*J77)</f>
        <v/>
      </c>
      <c r="L77" s="7"/>
    </row>
    <row r="78" customFormat="false" ht="23.85" hidden="false" customHeight="false" outlineLevel="0" collapsed="false">
      <c r="A78" s="5" t="s">
        <v>288</v>
      </c>
      <c r="B78" s="5" t="s">
        <v>289</v>
      </c>
      <c r="C78" s="5" t="s">
        <v>290</v>
      </c>
      <c r="D78" s="5" t="s">
        <v>291</v>
      </c>
      <c r="E78" s="6" t="n">
        <v>2</v>
      </c>
      <c r="F78" s="5" t="s">
        <v>19</v>
      </c>
      <c r="G78" s="5" t="s">
        <v>292</v>
      </c>
      <c r="H78" s="5" t="s">
        <v>293</v>
      </c>
      <c r="I78" s="7"/>
      <c r="J78" s="8"/>
      <c r="K78" s="9" t="str">
        <f aca="false">IF(J78="","",E78*J78)</f>
        <v/>
      </c>
      <c r="L78" s="7"/>
    </row>
    <row r="79" customFormat="false" ht="23.85" hidden="false" customHeight="false" outlineLevel="0" collapsed="false">
      <c r="A79" s="5" t="s">
        <v>294</v>
      </c>
      <c r="B79" s="5" t="s">
        <v>289</v>
      </c>
      <c r="C79" s="5" t="s">
        <v>295</v>
      </c>
      <c r="D79" s="5" t="s">
        <v>296</v>
      </c>
      <c r="E79" s="6" t="n">
        <v>3</v>
      </c>
      <c r="F79" s="5" t="s">
        <v>19</v>
      </c>
      <c r="G79" s="5" t="s">
        <v>292</v>
      </c>
      <c r="H79" s="5" t="s">
        <v>21</v>
      </c>
      <c r="I79" s="7"/>
      <c r="J79" s="8"/>
      <c r="K79" s="9" t="str">
        <f aca="false">IF(J79="","",E79*J79)</f>
        <v/>
      </c>
      <c r="L79" s="7"/>
    </row>
    <row r="80" customFormat="false" ht="23.85" hidden="false" customHeight="false" outlineLevel="0" collapsed="false">
      <c r="A80" s="5" t="s">
        <v>297</v>
      </c>
      <c r="B80" s="5" t="s">
        <v>289</v>
      </c>
      <c r="C80" s="5" t="s">
        <v>298</v>
      </c>
      <c r="D80" s="5" t="s">
        <v>299</v>
      </c>
      <c r="E80" s="6" t="n">
        <v>1</v>
      </c>
      <c r="F80" s="5" t="s">
        <v>19</v>
      </c>
      <c r="G80" s="5" t="s">
        <v>292</v>
      </c>
      <c r="H80" s="5" t="s">
        <v>140</v>
      </c>
      <c r="I80" s="7"/>
      <c r="J80" s="8"/>
      <c r="K80" s="9" t="str">
        <f aca="false">IF(J80="","",E80*J80)</f>
        <v/>
      </c>
      <c r="L80" s="7"/>
    </row>
    <row r="81" customFormat="false" ht="23.85" hidden="false" customHeight="false" outlineLevel="0" collapsed="false">
      <c r="A81" s="5" t="s">
        <v>300</v>
      </c>
      <c r="B81" s="5" t="s">
        <v>289</v>
      </c>
      <c r="C81" s="5" t="s">
        <v>301</v>
      </c>
      <c r="D81" s="5" t="s">
        <v>302</v>
      </c>
      <c r="E81" s="6" t="n">
        <v>1</v>
      </c>
      <c r="F81" s="5" t="s">
        <v>50</v>
      </c>
      <c r="G81" s="5" t="s">
        <v>292</v>
      </c>
      <c r="H81" s="5" t="s">
        <v>21</v>
      </c>
      <c r="I81" s="7"/>
      <c r="J81" s="8"/>
      <c r="K81" s="9" t="str">
        <f aca="false">IF(J81="","",E81*J81)</f>
        <v/>
      </c>
      <c r="L81" s="7"/>
    </row>
    <row r="82" customFormat="false" ht="23.85" hidden="false" customHeight="false" outlineLevel="0" collapsed="false">
      <c r="A82" s="5" t="s">
        <v>303</v>
      </c>
      <c r="B82" s="5" t="s">
        <v>289</v>
      </c>
      <c r="C82" s="5" t="s">
        <v>304</v>
      </c>
      <c r="D82" s="5" t="s">
        <v>305</v>
      </c>
      <c r="E82" s="6" t="n">
        <v>3</v>
      </c>
      <c r="F82" s="5" t="s">
        <v>19</v>
      </c>
      <c r="G82" s="5" t="s">
        <v>292</v>
      </c>
      <c r="H82" s="5" t="s">
        <v>140</v>
      </c>
      <c r="I82" s="7"/>
      <c r="J82" s="8"/>
      <c r="K82" s="9" t="str">
        <f aca="false">IF(J82="","",E82*J82)</f>
        <v/>
      </c>
      <c r="L82" s="7"/>
    </row>
    <row r="83" customFormat="false" ht="23.85" hidden="false" customHeight="false" outlineLevel="0" collapsed="false">
      <c r="A83" s="5" t="s">
        <v>306</v>
      </c>
      <c r="B83" s="5" t="s">
        <v>289</v>
      </c>
      <c r="C83" s="5" t="s">
        <v>307</v>
      </c>
      <c r="D83" s="5" t="s">
        <v>308</v>
      </c>
      <c r="E83" s="6" t="n">
        <v>1</v>
      </c>
      <c r="F83" s="5" t="s">
        <v>19</v>
      </c>
      <c r="G83" s="5" t="s">
        <v>292</v>
      </c>
      <c r="H83" s="5" t="s">
        <v>309</v>
      </c>
      <c r="I83" s="7"/>
      <c r="J83" s="8"/>
      <c r="K83" s="9" t="str">
        <f aca="false">IF(J83="","",E83*J83)</f>
        <v/>
      </c>
      <c r="L83" s="7"/>
    </row>
    <row r="84" customFormat="false" ht="15" hidden="false" customHeight="false" outlineLevel="0" collapsed="false">
      <c r="J84" s="10" t="s">
        <v>310</v>
      </c>
      <c r="K84" s="11" t="n">
        <f aca="false">SUM(K6:K83)</f>
        <v>0</v>
      </c>
    </row>
  </sheetData>
  <autoFilter ref="A5:L83"/>
  <mergeCells count="3">
    <mergeCell ref="A1:L1"/>
    <mergeCell ref="A2:L2"/>
    <mergeCell ref="A3:L3"/>
  </mergeCells>
  <dataValidations count="1">
    <dataValidation allowBlank="true" errorStyle="stop" operator="between" showDropDown="false" showErrorMessage="false" showInputMessage="false" sqref="L6:L83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4" min="3" style="0" width="16"/>
  </cols>
  <sheetData>
    <row r="1" customFormat="false" ht="17.35" hidden="false" customHeight="false" outlineLevel="0" collapsed="false">
      <c r="A1" s="12" t="s">
        <v>311</v>
      </c>
    </row>
    <row r="2" customFormat="false" ht="15" hidden="false" customHeight="false" outlineLevel="0" collapsed="false">
      <c r="A2" s="13" t="s">
        <v>312</v>
      </c>
    </row>
    <row r="4" customFormat="false" ht="15" hidden="false" customHeight="false" outlineLevel="0" collapsed="false">
      <c r="A4" s="14" t="s">
        <v>4</v>
      </c>
      <c r="B4" s="14" t="s">
        <v>313</v>
      </c>
      <c r="C4" s="14" t="s">
        <v>314</v>
      </c>
      <c r="D4" s="14" t="s">
        <v>13</v>
      </c>
    </row>
    <row r="5" customFormat="false" ht="15" hidden="false" customHeight="false" outlineLevel="0" collapsed="false">
      <c r="A5" s="15" t="s">
        <v>16</v>
      </c>
      <c r="B5" s="15" t="n">
        <f aca="false">COUNTIF('Lista de materiales'!$B$6:$B$83,A5)</f>
        <v>16</v>
      </c>
      <c r="C5" s="15" t="n">
        <f aca="false">COUNTIFS('Lista de materiales'!$B$6:$B$83,A5,'Lista de materiales'!$J$6:$J$83,"&lt;&gt;")</f>
        <v>0</v>
      </c>
      <c r="D5" s="16" t="n">
        <f aca="false">SUMIF('Lista de materiales'!$B$6:$B$83,A5,'Lista de materiales'!$K$6:$K$83)</f>
        <v>0</v>
      </c>
    </row>
    <row r="6" customFormat="false" ht="15" hidden="false" customHeight="false" outlineLevel="0" collapsed="false">
      <c r="A6" s="15" t="s">
        <v>76</v>
      </c>
      <c r="B6" s="15" t="n">
        <f aca="false">COUNTIF('Lista de materiales'!$B$6:$B$83,A6)</f>
        <v>14</v>
      </c>
      <c r="C6" s="15" t="n">
        <f aca="false">COUNTIFS('Lista de materiales'!$B$6:$B$83,A6,'Lista de materiales'!$J$6:$J$83,"&lt;&gt;")</f>
        <v>0</v>
      </c>
      <c r="D6" s="16" t="n">
        <f aca="false">SUMIF('Lista de materiales'!$B$6:$B$83,A6,'Lista de materiales'!$K$6:$K$83)</f>
        <v>0</v>
      </c>
    </row>
    <row r="7" customFormat="false" ht="15" hidden="false" customHeight="false" outlineLevel="0" collapsed="false">
      <c r="A7" s="15" t="s">
        <v>137</v>
      </c>
      <c r="B7" s="15" t="n">
        <f aca="false">COUNTIF('Lista de materiales'!$B$6:$B$83,A7)</f>
        <v>9</v>
      </c>
      <c r="C7" s="15" t="n">
        <f aca="false">COUNTIFS('Lista de materiales'!$B$6:$B$83,A7,'Lista de materiales'!$J$6:$J$83,"&lt;&gt;")</f>
        <v>0</v>
      </c>
      <c r="D7" s="16" t="n">
        <f aca="false">SUMIF('Lista de materiales'!$B$6:$B$83,A7,'Lista de materiales'!$K$6:$K$83)</f>
        <v>0</v>
      </c>
    </row>
    <row r="8" customFormat="false" ht="15" hidden="false" customHeight="false" outlineLevel="0" collapsed="false">
      <c r="A8" s="15" t="s">
        <v>169</v>
      </c>
      <c r="B8" s="15" t="n">
        <f aca="false">COUNTIF('Lista de materiales'!$B$6:$B$83,A8)</f>
        <v>3</v>
      </c>
      <c r="C8" s="15" t="n">
        <f aca="false">COUNTIFS('Lista de materiales'!$B$6:$B$83,A8,'Lista de materiales'!$J$6:$J$83,"&lt;&gt;")</f>
        <v>0</v>
      </c>
      <c r="D8" s="16" t="n">
        <f aca="false">SUMIF('Lista de materiales'!$B$6:$B$83,A8,'Lista de materiales'!$K$6:$K$83)</f>
        <v>0</v>
      </c>
    </row>
    <row r="9" customFormat="false" ht="15" hidden="false" customHeight="false" outlineLevel="0" collapsed="false">
      <c r="A9" s="15" t="s">
        <v>182</v>
      </c>
      <c r="B9" s="15" t="n">
        <f aca="false">COUNTIF('Lista de materiales'!$B$6:$B$83,A9)</f>
        <v>8</v>
      </c>
      <c r="C9" s="15" t="n">
        <f aca="false">COUNTIFS('Lista de materiales'!$B$6:$B$83,A9,'Lista de materiales'!$J$6:$J$83,"&lt;&gt;")</f>
        <v>0</v>
      </c>
      <c r="D9" s="16" t="n">
        <f aca="false">SUMIF('Lista de materiales'!$B$6:$B$83,A9,'Lista de materiales'!$K$6:$K$83)</f>
        <v>0</v>
      </c>
    </row>
    <row r="10" customFormat="false" ht="15" hidden="false" customHeight="false" outlineLevel="0" collapsed="false">
      <c r="A10" s="15" t="s">
        <v>207</v>
      </c>
      <c r="B10" s="15" t="n">
        <f aca="false">COUNTIF('Lista de materiales'!$B$6:$B$83,A10)</f>
        <v>8</v>
      </c>
      <c r="C10" s="15" t="n">
        <f aca="false">COUNTIFS('Lista de materiales'!$B$6:$B$83,A10,'Lista de materiales'!$J$6:$J$83,"&lt;&gt;")</f>
        <v>0</v>
      </c>
      <c r="D10" s="16" t="n">
        <f aca="false">SUMIF('Lista de materiales'!$B$6:$B$83,A10,'Lista de materiales'!$K$6:$K$83)</f>
        <v>0</v>
      </c>
    </row>
    <row r="11" customFormat="false" ht="15" hidden="false" customHeight="false" outlineLevel="0" collapsed="false">
      <c r="A11" s="15" t="s">
        <v>237</v>
      </c>
      <c r="B11" s="15" t="n">
        <f aca="false">COUNTIF('Lista de materiales'!$B$6:$B$83,A11)</f>
        <v>8</v>
      </c>
      <c r="C11" s="15" t="n">
        <f aca="false">COUNTIFS('Lista de materiales'!$B$6:$B$83,A11,'Lista de materiales'!$J$6:$J$83,"&lt;&gt;")</f>
        <v>0</v>
      </c>
      <c r="D11" s="16" t="n">
        <f aca="false">SUMIF('Lista de materiales'!$B$6:$B$83,A11,'Lista de materiales'!$K$6:$K$83)</f>
        <v>0</v>
      </c>
    </row>
    <row r="12" customFormat="false" ht="15" hidden="false" customHeight="false" outlineLevel="0" collapsed="false">
      <c r="A12" s="15" t="s">
        <v>265</v>
      </c>
      <c r="B12" s="15" t="n">
        <f aca="false">COUNTIF('Lista de materiales'!$B$6:$B$83,A12)</f>
        <v>6</v>
      </c>
      <c r="C12" s="15" t="n">
        <f aca="false">COUNTIFS('Lista de materiales'!$B$6:$B$83,A12,'Lista de materiales'!$J$6:$J$83,"&lt;&gt;")</f>
        <v>0</v>
      </c>
      <c r="D12" s="16" t="n">
        <f aca="false">SUMIF('Lista de materiales'!$B$6:$B$83,A12,'Lista de materiales'!$K$6:$K$83)</f>
        <v>0</v>
      </c>
    </row>
    <row r="13" customFormat="false" ht="15" hidden="false" customHeight="false" outlineLevel="0" collapsed="false">
      <c r="A13" s="15" t="s">
        <v>289</v>
      </c>
      <c r="B13" s="15" t="n">
        <f aca="false">COUNTIF('Lista de materiales'!$B$6:$B$83,A13)</f>
        <v>6</v>
      </c>
      <c r="C13" s="15" t="n">
        <f aca="false">COUNTIFS('Lista de materiales'!$B$6:$B$83,A13,'Lista de materiales'!$J$6:$J$83,"&lt;&gt;")</f>
        <v>0</v>
      </c>
      <c r="D13" s="16" t="n">
        <f aca="false">SUMIF('Lista de materiales'!$B$6:$B$83,A13,'Lista de materiales'!$K$6:$K$83)</f>
        <v>0</v>
      </c>
    </row>
    <row r="14" customFormat="false" ht="15" hidden="false" customHeight="false" outlineLevel="0" collapsed="false">
      <c r="A14" s="17" t="s">
        <v>315</v>
      </c>
      <c r="B14" s="17" t="n">
        <f aca="false">SUM(B5:B13)</f>
        <v>78</v>
      </c>
      <c r="C14" s="17" t="n">
        <f aca="false">SUM(C5:C13)</f>
        <v>0</v>
      </c>
      <c r="D14" s="18" t="n">
        <f aca="false">SUM(D5:D13)</f>
        <v>0</v>
      </c>
    </row>
    <row r="16" customFormat="false" ht="15" hidden="false" customHeight="false" outlineLevel="0" collapsed="false">
      <c r="A16" s="13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2026-10-11T15:04:52Z</dcterms:created>
  <dc:creator>openpyxl</dc:creator>
  <dc:description/>
  <dc:language>en-US</dc:language>
  <cp:lastModifiedBy/>
  <dcterms:modified xsi:type="dcterms:W3CDTF">2026-10-11T15:04:52Z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