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materiales" sheetId="1" state="visible" r:id="rId3"/>
    <sheet name="Presupuesto Ecuador" sheetId="2" state="visible" r:id="rId4"/>
    <sheet name="Proveedores" sheetId="3" state="visible" r:id="rId5"/>
  </sheets>
  <definedNames>
    <definedName function="false" hidden="false" localSheetId="0" name="_xlnm.Print_Titles" vbProcedure="false">'Lista de materiales'!$4:$4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<sst xmlns="http://schemas.openxmlformats.org/spreadsheetml/2006/main" count="702" uniqueCount="500">
  <si>
    <t xml:space="preserve">Tijera de caña con apoyo de antebrazo · Lista de materiales (Rev. B, conceptual)</t>
  </si>
  <si>
    <t xml:space="preserve">Masas calculadas del modelo 3D (fuente/modelo.py). Diseño para prototipo: confirmar la fuerza de corte con un ensayo antes de fabricar las piezas de acero.</t>
  </si>
  <si>
    <t xml:space="preserve">Código</t>
  </si>
  <si>
    <t xml:space="preserve">Denominación</t>
  </si>
  <si>
    <t xml:space="preserve">Grupo</t>
  </si>
  <si>
    <t xml:space="preserve">Material / especificación</t>
  </si>
  <si>
    <t xml:space="preserve">Cant.</t>
  </si>
  <si>
    <t xml:space="preserve">Masa unit. (g)</t>
  </si>
  <si>
    <t xml:space="preserve">Masa total (g)</t>
  </si>
  <si>
    <t xml:space="preserve">Cómo se fabrica / qué comprar</t>
  </si>
  <si>
    <t xml:space="preserve">Plano DXF</t>
  </si>
  <si>
    <t xml:space="preserve">Modelo 3D (STEP)</t>
  </si>
  <si>
    <t xml:space="preserve">P01</t>
  </si>
  <si>
    <t xml:space="preserve">Contracuchilla-gancho</t>
  </si>
  <si>
    <t xml:space="preserve">Cabezal</t>
  </si>
  <si>
    <t xml:space="preserve">Acero O1 (Böhler K460), SK5 o 65Mn templado 52-55 HRC, e = 8</t>
  </si>
  <si>
    <t xml:space="preserve">Corte láser, plasma o chorro de agua desde el DXF (chapa 8 mm). Rectificar el borde de cizalla a escuadra. Templar a 52-55 HRC.</t>
  </si>
  <si>
    <t xml:space="preserve">P01_contracuchilla_gancho.dxf</t>
  </si>
  <si>
    <t xml:space="preserve">P01_contracuchilla_gancho.step</t>
  </si>
  <si>
    <t xml:space="preserve">P02</t>
  </si>
  <si>
    <t xml:space="preserve">Cuchilla móvil</t>
  </si>
  <si>
    <t xml:space="preserve">Acero D2 (Böhler K110) o SK5 templado 56-58 HRC, e = 5</t>
  </si>
  <si>
    <t xml:space="preserve">Corte por hilo o láser desde el DXF (chapa 5 mm). Afilar bisel de 25-30° por un solo lado, cara plana contra el gancho. Templar a 56-58 HRC.</t>
  </si>
  <si>
    <t xml:space="preserve">P02_cuchilla_movil.dxf</t>
  </si>
  <si>
    <t xml:space="preserve">P02_cuchilla_movil.step</t>
  </si>
  <si>
    <t xml:space="preserve">P03</t>
  </si>
  <si>
    <t xml:space="preserve">Placa base</t>
  </si>
  <si>
    <t xml:space="preserve">Aluminio 7075-T6, e = 8, anodizado</t>
  </si>
  <si>
    <t xml:space="preserve">Corte por chorro de agua o CNC (placa 8 mm). Rebaje de media madera y avellanados. Anodizado.</t>
  </si>
  <si>
    <t xml:space="preserve">P03_placa_base.dxf</t>
  </si>
  <si>
    <t xml:space="preserve">P03_placa_base.step</t>
  </si>
  <si>
    <t xml:space="preserve">P04</t>
  </si>
  <si>
    <t xml:space="preserve">Patín rasante</t>
  </si>
  <si>
    <t xml:space="preserve">UHMW-PE, e = 3</t>
  </si>
  <si>
    <t xml:space="preserve">Corte CNC o a cuchilla desde el DXF (lámina 3 mm). Avellanados para los tornillos.</t>
  </si>
  <si>
    <t xml:space="preserve">P04_patin_rasante.dxf</t>
  </si>
  <si>
    <t xml:space="preserve">P04_patin_rasante.step</t>
  </si>
  <si>
    <t xml:space="preserve">P05</t>
  </si>
  <si>
    <t xml:space="preserve">Torre del cabezal</t>
  </si>
  <si>
    <t xml:space="preserve">Aluminio 6061-T6 mecanizado, anodizado</t>
  </si>
  <si>
    <t xml:space="preserve">Mecanizado CNC desde el STEP. Anodizado.</t>
  </si>
  <si>
    <t xml:space="preserve">P05_torre_del_cabezal.dxf</t>
  </si>
  <si>
    <t xml:space="preserve">P05_torre_del_cabezal.step</t>
  </si>
  <si>
    <t xml:space="preserve">P06</t>
  </si>
  <si>
    <t xml:space="preserve">Palanca angular (balancín)</t>
  </si>
  <si>
    <t xml:space="preserve">Acero SAE 4140 bonificado (Böhler V320), e = 8</t>
  </si>
  <si>
    <t xml:space="preserve">Corte láser (chapa 8 mm), escariar los agujeros. Bonificado.</t>
  </si>
  <si>
    <t xml:space="preserve">P06_palanca_angular_balancin.dxf</t>
  </si>
  <si>
    <t xml:space="preserve">P06_palanca_angular_balancin.step</t>
  </si>
  <si>
    <t xml:space="preserve">P07</t>
  </si>
  <si>
    <t xml:space="preserve">Biela</t>
  </si>
  <si>
    <t xml:space="preserve">Acero SAE 1045, pletina 16 x 6</t>
  </si>
  <si>
    <t xml:space="preserve">Corte y taladrado de pletina 16 x 6. Escariar los agujeros.</t>
  </si>
  <si>
    <t xml:space="preserve">P07_biela.dxf</t>
  </si>
  <si>
    <t xml:space="preserve">P07_biela.step</t>
  </si>
  <si>
    <t xml:space="preserve">P08</t>
  </si>
  <si>
    <t xml:space="preserve">Tubo</t>
  </si>
  <si>
    <t xml:space="preserve">Brazo</t>
  </si>
  <si>
    <t xml:space="preserve">Tubo de carbono Ø30 x 2 (prototipo: aluminio 6061-T6)</t>
  </si>
  <si>
    <t xml:space="preserve">Cortar el tubo a medida. Con carbono: disco diamantado y sellar el corte con epoxi.</t>
  </si>
  <si>
    <t xml:space="preserve">P08_tubo.dxf</t>
  </si>
  <si>
    <t xml:space="preserve">P08_tubo.step</t>
  </si>
  <si>
    <t xml:space="preserve">P09</t>
  </si>
  <si>
    <t xml:space="preserve">Varilla de tracción</t>
  </si>
  <si>
    <t xml:space="preserve">Tubo aluminio 7075-T6 Ø10 x 1,5</t>
  </si>
  <si>
    <t xml:space="preserve">Cortar el tubo y mecanizar los extremos.</t>
  </si>
  <si>
    <t xml:space="preserve">P09_varilla_de_traccion.dxf</t>
  </si>
  <si>
    <t xml:space="preserve">P09_varilla_de_traccion.step</t>
  </si>
  <si>
    <t xml:space="preserve">P10</t>
  </si>
  <si>
    <t xml:space="preserve">Carcasa de accionamiento</t>
  </si>
  <si>
    <t xml:space="preserve">PA6-GF30 (prototipo: impresión 3D PA-CF)</t>
  </si>
  <si>
    <t xml:space="preserve">Prototipo: impresión 3D en PA-CF. Serie: inyección PA6-GF30.</t>
  </si>
  <si>
    <t xml:space="preserve">P10_carcasa_de_accionamiento.dxf</t>
  </si>
  <si>
    <t xml:space="preserve">P10_carcasa_de_accionamiento.step</t>
  </si>
  <si>
    <t xml:space="preserve">P11</t>
  </si>
  <si>
    <t xml:space="preserve">Empuñadura ergonómica con guardamonte</t>
  </si>
  <si>
    <t xml:space="preserve">PA6-GF30 con sobremoldeo TPE</t>
  </si>
  <si>
    <t xml:space="preserve">Prototipo: impresión 3D. Serie: inyección PA6-GF30 con sobremoldeo TPE de 3 mm.</t>
  </si>
  <si>
    <t xml:space="preserve">P11_empunadura_ergonomica_con_guardamonte.dxf</t>
  </si>
  <si>
    <t xml:space="preserve">P11_empunadura_ergonomica_con_guardamonte.step</t>
  </si>
  <si>
    <t xml:space="preserve">P12</t>
  </si>
  <si>
    <t xml:space="preserve">Gatillo de cuatro dedos (tipo rozadora)</t>
  </si>
  <si>
    <t xml:space="preserve">PA6-GF30</t>
  </si>
  <si>
    <t xml:space="preserve">Prototipo: impresión 3D. Serie: inyección PA6-GF30.</t>
  </si>
  <si>
    <t xml:space="preserve">P12_gatillo_de_cuatro_dedos_tipo_rozadora.dxf</t>
  </si>
  <si>
    <t xml:space="preserve">P12_gatillo_de_cuatro_dedos_tipo_rozadora.step</t>
  </si>
  <si>
    <t xml:space="preserve">P13</t>
  </si>
  <si>
    <t xml:space="preserve">Brazo del apoyo de antebrazo</t>
  </si>
  <si>
    <t xml:space="preserve">Apoyo de antebrazo</t>
  </si>
  <si>
    <t xml:space="preserve">Aluminio 5052-H32, chapa 6 mm plegada</t>
  </si>
  <si>
    <t xml:space="preserve">Corte láser y plegado (chapa 6 mm de 5052; el 6061-T6 se agrieta al doblar) + ala de 7 mm.</t>
  </si>
  <si>
    <t xml:space="preserve">P13_brazo_del_apoyo_de_antebrazo.dxf</t>
  </si>
  <si>
    <t xml:space="preserve">P13_brazo_del_apoyo_de_antebrazo.step</t>
  </si>
  <si>
    <t xml:space="preserve">P14</t>
  </si>
  <si>
    <t xml:space="preserve">Cuna de antebrazo</t>
  </si>
  <si>
    <t xml:space="preserve">PA6-GF30 (o aluminio 5052 plegado)</t>
  </si>
  <si>
    <t xml:space="preserve">Impresión 3D, o chapa de aluminio 5052 plegada.</t>
  </si>
  <si>
    <t xml:space="preserve">P14_cuna_de_antebrazo.dxf</t>
  </si>
  <si>
    <t xml:space="preserve">P14_cuna_de_antebrazo.step</t>
  </si>
  <si>
    <t xml:space="preserve">P15</t>
  </si>
  <si>
    <t xml:space="preserve">Almohadilla y correa</t>
  </si>
  <si>
    <t xml:space="preserve">EVA 5 mm + correa de velcro con hebilla de liberación</t>
  </si>
  <si>
    <t xml:space="preserve">EVA de 5 mm cortada a cuchilla + correa de velcro cosida con hebilla de liberación rápida.</t>
  </si>
  <si>
    <t xml:space="preserve">P15_almohadilla_y_correa.dxf</t>
  </si>
  <si>
    <t xml:space="preserve">P15_almohadilla_y_correa.step</t>
  </si>
  <si>
    <t xml:space="preserve">P16</t>
  </si>
  <si>
    <t xml:space="preserve">Anilla para correa de hombro</t>
  </si>
  <si>
    <t xml:space="preserve">Abrazadera PA6 + anilla inoxidable</t>
  </si>
  <si>
    <t xml:space="preserve">Abrazadera impresa en 3D + anilla de acero inoxidable comercial.</t>
  </si>
  <si>
    <t xml:space="preserve">P16_anilla_para_correa_de_hombro.dxf</t>
  </si>
  <si>
    <t xml:space="preserve">P16_anilla_para_correa_de_hombro.step</t>
  </si>
  <si>
    <t xml:space="preserve">P17</t>
  </si>
  <si>
    <t xml:space="preserve">Punta envolvente con resorte</t>
  </si>
  <si>
    <t xml:space="preserve">Acero inoxidable 17-4PH o SAE 4140 pavonado, e = 6</t>
  </si>
  <si>
    <t xml:space="preserve">Corte láser o por hilo (chapa 6 mm). Mecanizar la bisagra.</t>
  </si>
  <si>
    <t xml:space="preserve">P17_punta_envolvente_con_resorte.dxf</t>
  </si>
  <si>
    <t xml:space="preserve">P17_punta_envolvente_con_resorte.step</t>
  </si>
  <si>
    <t xml:space="preserve">P18</t>
  </si>
  <si>
    <t xml:space="preserve">Palanca de pulgar (opcional)</t>
  </si>
  <si>
    <t xml:space="preserve">PA6-GF30 con TPE</t>
  </si>
  <si>
    <t xml:space="preserve">Impresión 3D con recubrimiento de TPE.</t>
  </si>
  <si>
    <t xml:space="preserve">P18_palanca_de_pulgar_opcional.dxf</t>
  </si>
  <si>
    <t xml:space="preserve">P18_palanca_de_pulgar_opcional.step</t>
  </si>
  <si>
    <t xml:space="preserve">P19</t>
  </si>
  <si>
    <t xml:space="preserve">Pata de apoyo plegable (bípode)</t>
  </si>
  <si>
    <t xml:space="preserve">Tubo aluminio 6061 Ø12 x 1, abrazadera PA6-GF30, tacos de caucho</t>
  </si>
  <si>
    <t xml:space="preserve">Patas: tubo de aluminio cortado a 311 mm. Abrazadera impresa en 3D. Puntas de acero torneadas y templadas (Ø8 x 25 mm) + disco de caucho.</t>
  </si>
  <si>
    <t xml:space="preserve">P19_pata_de_apoyo_plegable_bipode.dxf</t>
  </si>
  <si>
    <t xml:space="preserve">P19_pata_de_apoyo_plegable_bipode.step</t>
  </si>
  <si>
    <t xml:space="preserve">C01</t>
  </si>
  <si>
    <t xml:space="preserve">Motor sin escobillas 300-400 W, 36 V</t>
  </si>
  <si>
    <t xml:space="preserve">Accionamiento</t>
  </si>
  <si>
    <t xml:space="preserve">Comercial</t>
  </si>
  <si>
    <t xml:space="preserve">Motor sin escobillas (BLDC) de 36 V y 300-400 W, con sensores Hall. Controlador con freno eléctrico.</t>
  </si>
  <si>
    <t xml:space="preserve">comercial</t>
  </si>
  <si>
    <t xml:space="preserve">—</t>
  </si>
  <si>
    <t xml:space="preserve">C02</t>
  </si>
  <si>
    <t xml:space="preserve">Reductor planetario 15:1</t>
  </si>
  <si>
    <t xml:space="preserve">Reductor planetario 15:1 que acople al eje del motor.</t>
  </si>
  <si>
    <t xml:space="preserve">C03</t>
  </si>
  <si>
    <t xml:space="preserve">Husillo de bolas SFU1605</t>
  </si>
  <si>
    <t xml:space="preserve">Husillo de bolas SFU1605 (Ø16 mm, paso 5 mm) con soporte de rodamiento. Largo según el plano de conjunto.</t>
  </si>
  <si>
    <t xml:space="preserve">C04</t>
  </si>
  <si>
    <t xml:space="preserve">Tuerca del husillo + horquilla de tiro</t>
  </si>
  <si>
    <t xml:space="preserve">Tuerca SFU1605 + horquilla de tiro mecanizada.</t>
  </si>
  <si>
    <t xml:space="preserve">C06</t>
  </si>
  <si>
    <t xml:space="preserve">Perno pivote con hombro Ø12, rosca M10 + arandelas Belleville</t>
  </si>
  <si>
    <t xml:space="preserve">Comercial (ISO 7379 / DIN 2093)</t>
  </si>
  <si>
    <t xml:space="preserve">Perno con hombro ISO 7379 de Ø12 x 25 mm (rosca M10, clase 12.9) + 2 arandelas Belleville DIN 2093 12,2 x 25 (mantienen el juego de 0,05-0,1 mm).</t>
  </si>
  <si>
    <t xml:space="preserve">C07</t>
  </si>
  <si>
    <t xml:space="preserve">Pasador Ø6 + separador + resorte de torsión de la punta</t>
  </si>
  <si>
    <t xml:space="preserve">Pasador Ø6 + separador + resorte de torsión de 0,3 N·m.</t>
  </si>
  <si>
    <t xml:space="preserve">C08</t>
  </si>
  <si>
    <t xml:space="preserve">Correa de hombro de rozadora con mosquetón</t>
  </si>
  <si>
    <t xml:space="preserve">Comercial (arnés simple de desbrozadora)</t>
  </si>
  <si>
    <t xml:space="preserve">Arnés simple de desbrozadora, con mosquetón de liberación rápida.</t>
  </si>
  <si>
    <t xml:space="preserve">C09</t>
  </si>
  <si>
    <t xml:space="preserve">Botón de pulgar + cable de la pata P19</t>
  </si>
  <si>
    <t xml:space="preserve">Palanca de pulgar + cable de freno de bicicleta con funda. Masa incluida en la fila de tornillería.</t>
  </si>
  <si>
    <t xml:space="preserve">Tornillería, cables y electrónica (controlador, sensor Hall del gatillo, sensor de presencia)</t>
  </si>
  <si>
    <t xml:space="preserve">Varios</t>
  </si>
  <si>
    <t xml:space="preserve">Estimado; no está dibujado en el modelo 3D.</t>
  </si>
  <si>
    <t xml:space="preserve">Masa sin batería (g)</t>
  </si>
  <si>
    <t xml:space="preserve">Al cinturón (no pesa en el brazo)</t>
  </si>
  <si>
    <t xml:space="preserve">C05</t>
  </si>
  <si>
    <t xml:space="preserve">Batería Li-ion 36 V 2,5-4 Ah al cinturón + cable espiral</t>
  </si>
  <si>
    <t xml:space="preserve">Batería de herramienta de 36 V. Con 2,5 Ah pesa unos 0,9 kg y con 4 Ah unos 1,3 kg. Va al cinturón con cable espiral.</t>
  </si>
  <si>
    <t xml:space="preserve">Total con batería (g)</t>
  </si>
  <si>
    <t xml:space="preserve">Notas</t>
  </si>
  <si>
    <t xml:space="preserve">Masa de la batería: 900 g para 2,5 Ah (estimado de catálogo). Con 4 Ah, unos 1.300 g.</t>
  </si>
  <si>
    <t xml:space="preserve">Los DXF están a escala 1:1: las piezas de chapa (P01, P02, P03, P04, P06, P07, P13, P17) van directo a corte; antes, borrar las capas COTAS, TEXTO, EJES y MARCO.</t>
  </si>
  <si>
    <t xml:space="preserve">Las piezas plásticas (P10, P11, P12, P14, P16, P18) se pueden imprimir en 3D desde el STEP para el prototipo.</t>
  </si>
  <si>
    <t xml:space="preserve">Presupuesto estimado del prototipo en Ecuador (USD)</t>
  </si>
  <si>
    <t xml:space="preserve">Consulta web del 12-oct-2026. Casi ningún proveedor publica precios: la mayoría son rangos estimados o de importación, así que hay que confirmarlos con cotización. Algunos precios incluyen IVA (15 %) y otros no.</t>
  </si>
  <si>
    <t xml:space="preserve">Código(s)</t>
  </si>
  <si>
    <t xml:space="preserve">Qué comprar o encargar</t>
  </si>
  <si>
    <t xml:space="preserve">Medida / cantidad</t>
  </si>
  <si>
    <t xml:space="preserve">Proveedor sugerido</t>
  </si>
  <si>
    <t xml:space="preserve">Ciudad</t>
  </si>
  <si>
    <t xml:space="preserve">Precio mín. (USD)</t>
  </si>
  <si>
    <t xml:space="preserve">Precio máx. (USD)</t>
  </si>
  <si>
    <t xml:space="preserve">Subtotal mín. (USD)</t>
  </si>
  <si>
    <t xml:space="preserve">Subtotal máx. (USD)</t>
  </si>
  <si>
    <t xml:space="preserve">Confianza</t>
  </si>
  <si>
    <t xml:space="preserve">Fuente</t>
  </si>
  <si>
    <t xml:space="preserve">Nota</t>
  </si>
  <si>
    <t xml:space="preserve">A. Materia prima</t>
  </si>
  <si>
    <t xml:space="preserve">A</t>
  </si>
  <si>
    <t xml:space="preserve">Acero D2 (Böhler K110)</t>
  </si>
  <si>
    <t xml:space="preserve">1 trozo 140 x 110 x 6 mm (≈0,7 kg)</t>
  </si>
  <si>
    <t xml:space="preserve">voestalpine High Performance Metals del Ecuador (ex Aceros Böhler)</t>
  </si>
  <si>
    <t xml:space="preserve">Quito</t>
  </si>
  <si>
    <t xml:space="preserve">baja</t>
  </si>
  <si>
    <t xml:space="preserve">https://voestalpine.com/highperformancemetals/ecuador/es/</t>
  </si>
  <si>
    <t xml:space="preserve">Precio a cotizar. Rango: 0,7 kg x 15-64 USD/kg (64 USD/kg es D2 importado de EE. UU., Maker Material Supply). Se compra de 6 mm y se rectifica a 5 mm.</t>
  </si>
  <si>
    <t xml:space="preserve">Acero O1 (Böhler K460) o acero de resorte</t>
  </si>
  <si>
    <t xml:space="preserve">1 trozo 180 x 70 x 8 mm (≈0,8 kg)</t>
  </si>
  <si>
    <t xml:space="preserve">voestalpine HPM Ecuador (Böhler)</t>
  </si>
  <si>
    <t xml:space="preserve">https://voestalpine.com/highperformancemetals/ecuador/es/bohler/tabla-de-colores-bohler-digital_compressed</t>
  </si>
  <si>
    <t xml:space="preserve">K460 figura en el catálogo Böhler de Ecuador. No se encontró 65Mn ni SK5 de 8 mm en Ecuador. Alternativa barata: hoja de ballesta usada (SAE 5160).</t>
  </si>
  <si>
    <t xml:space="preserve">P06, P07</t>
  </si>
  <si>
    <t xml:space="preserve">Acero SAE 4140 bonificado (Böhler V320) + platina 16 x 6</t>
  </si>
  <si>
    <t xml:space="preserve">trozo 90 x 55 x 8 mm + 150 mm de platina</t>
  </si>
  <si>
    <t xml:space="preserve">voestalpine HPM Ecuador / Dipac (eje bonificado 705) / Importaceros (platina)</t>
  </si>
  <si>
    <t xml:space="preserve">Quito / Manta</t>
  </si>
  <si>
    <t xml:space="preserve">https://dipacmanta.com/ejes-dipac-2/</t>
  </si>
  <si>
    <t xml:space="preserve">Platina publicada solo en A36 (no se templa): para la biela sirve A36 o 1045. Se factura por peso con mínimo de corte.</t>
  </si>
  <si>
    <t xml:space="preserve">Aluminio 7075-T6, placa de 8 mm</t>
  </si>
  <si>
    <t xml:space="preserve">1 trozo 170 x 130 mm (≈0,5 kg)</t>
  </si>
  <si>
    <t xml:space="preserve">Dismetal / Importaceros (pedir 7075 o 6061)</t>
  </si>
  <si>
    <t xml:space="preserve">https://dismetal.ec/productos/planchas/aluminio-liso</t>
  </si>
  <si>
    <t xml:space="preserve">En la web solo publican AA1100: pedir 7075-T6. Si no hay, 6061-T6 (menos resistente; vigilarlo en el ensayo). Referencia de importación: OnlineMetals.</t>
  </si>
  <si>
    <t xml:space="preserve">Aluminio 6061-T6, bloque para mecanizar</t>
  </si>
  <si>
    <t xml:space="preserve">1 bloque 160 x 90 x 55 mm (≈2,1 kg)</t>
  </si>
  <si>
    <t xml:space="preserve">Dismetal / Importaceros / el mismo taller CNC</t>
  </si>
  <si>
    <t xml:space="preserve">https://www.importaceros.com/</t>
  </si>
  <si>
    <t xml:space="preserve">Estimado: 2,1 kg x 10-25 USD/kg para cortes pequeños.</t>
  </si>
  <si>
    <t xml:space="preserve">Aluminio 5052-H32, chapa de 6 mm</t>
  </si>
  <si>
    <t xml:space="preserve">1 trozo 150 x 80 mm</t>
  </si>
  <si>
    <t xml:space="preserve">Dismetal / Importaceros</t>
  </si>
  <si>
    <t xml:space="preserve">No usar 6061-T6: se agrieta al plegar 6 mm. Radio interior del pliegue ≥ 9 mm.</t>
  </si>
  <si>
    <t xml:space="preserve">P08, P09, P19</t>
  </si>
  <si>
    <t xml:space="preserve">Tubos de aluminio Ø30 x 2 (0,5 m), Ø10 x 1,5 (0,6 m), Ø12 x 1 (0,7 m)</t>
  </si>
  <si>
    <t xml:space="preserve">3 tramos</t>
  </si>
  <si>
    <t xml:space="preserve">Mercado Libre Ecuador / Cedal (Latacunga, sin verificar)</t>
  </si>
  <si>
    <t xml:space="preserve">Nacional / Latacunga</t>
  </si>
  <si>
    <t xml:space="preserve">media</t>
  </si>
  <si>
    <t xml:space="preserve">https://listado.mercadolibre.com.ec/tubo-redondo-de-aluminio</t>
  </si>
  <si>
    <t xml:space="preserve">Tubo 6061 Ø4-10 a 4,19 USD; pértiga agrícola de aluminio a 40 USD (medidas sin confirmar). Cedal es extrusora en Latacunga: vale la pena llamar.</t>
  </si>
  <si>
    <t xml:space="preserve">Lámina UHMW-PE de 3 mm</t>
  </si>
  <si>
    <t xml:space="preserve">1 trozo 210 x 130 mm (o lámina de 305 x 305)</t>
  </si>
  <si>
    <t xml:space="preserve">Sutin - Suministros Técnicos Industriales, tel. (04) 2881484</t>
  </si>
  <si>
    <t xml:space="preserve">Guayaquil</t>
  </si>
  <si>
    <t xml:space="preserve">https://www.sutin.ec/productos/plasticos-de-ingenieria</t>
  </si>
  <si>
    <t xml:space="preserve">Sutin cotiza UHMW. Referencia de importación: lámina de 1/8 x 12 x 12 pulgadas a 15,95 USD (Zoro).</t>
  </si>
  <si>
    <t xml:space="preserve">Acero inoxidable 17-4PH (Böhler N700) o 420 templable</t>
  </si>
  <si>
    <t xml:space="preserve">1 trozo 70 x 40 x 6 mm</t>
  </si>
  <si>
    <t xml:space="preserve">Stock no confirmado. El inoxidable 304 de ferretería no se endurece: alternativa SAE 4140 pavonado.</t>
  </si>
  <si>
    <t xml:space="preserve">Goma EVA de 5 mm + correa de velcro con hebilla</t>
  </si>
  <si>
    <t xml:space="preserve">1 pliego + 1 m de correa</t>
  </si>
  <si>
    <t xml:space="preserve">Mercado Libre Ecuador (mayorista de goma EVA en Quito) / Kywi (velcro)</t>
  </si>
  <si>
    <t xml:space="preserve">Quito / nacional</t>
  </si>
  <si>
    <t xml:space="preserve">https://listado.mercadolibre.com.ec/goma-eva</t>
  </si>
  <si>
    <t xml:space="preserve">Sin precio publicado para 5 mm; estimado.</t>
  </si>
  <si>
    <t xml:space="preserve">B. Talleres y servicios</t>
  </si>
  <si>
    <t xml:space="preserve">B</t>
  </si>
  <si>
    <t xml:space="preserve">P01, P02, P03, P06, P13, P17</t>
  </si>
  <si>
    <t xml:space="preserve">Corte láser de fibra desde los DXF</t>
  </si>
  <si>
    <t xml:space="preserve">≈1,7 m en acero de 5-8 mm y ≈1,8 m en aluminio de 6-8 mm</t>
  </si>
  <si>
    <t xml:space="preserve">Prosoldes (1-16 mm) / Stands Creativa / Prosergraf / R3lab</t>
  </si>
  <si>
    <t xml:space="preserve">Guayaquil / Quito / Cuenca</t>
  </si>
  <si>
    <t xml:space="preserve">https://prosoldes.com/servicios/corte-por-laser-de-fibra-optica-oxi-y-plasma/</t>
  </si>
  <si>
    <t xml:space="preserve">Ningún taller publica tarifa. Estimado con 4-12 USD/m (referencia internacional) más un mínimo. Para aluminio de 8 mm se necesita láser de 3 kW o más; preguntar. Láser Metal Quito corta acero solo hasta 6 mm.</t>
  </si>
  <si>
    <t xml:space="preserve">Corte del patín de UHMW</t>
  </si>
  <si>
    <t xml:space="preserve">1 pieza</t>
  </si>
  <si>
    <t xml:space="preserve">Router CNC o a mano con plantilla impresa</t>
  </si>
  <si>
    <t xml:space="preserve">El láser de fibra no corta bien el UHMW (se funde). Se puede cortar con caladora y la plantilla 1:1.</t>
  </si>
  <si>
    <t xml:space="preserve">Fresado CNC de la torre del cabezal</t>
  </si>
  <si>
    <t xml:space="preserve">3-6 h de máquina</t>
  </si>
  <si>
    <t xml:space="preserve">Lathe Center (atiende en Latacunga y Machachi)</t>
  </si>
  <si>
    <t xml:space="preserve">Quito / Latacunga</t>
  </si>
  <si>
    <t xml:space="preserve">https://lathecenter.com/</t>
  </si>
  <si>
    <t xml:space="preserve">Estimado: CNC 25-45 USD/h; fresa convencional 10-20 USD/h. El bloque de aluminio va en la fila de materia prima.</t>
  </si>
  <si>
    <t xml:space="preserve">C04, P07, P08, P09, C06</t>
  </si>
  <si>
    <t xml:space="preserve">Torno y taller: horquilla de tiro, extremos de tubo y varilla, escariado, pasadores</t>
  </si>
  <si>
    <t xml:space="preserve">≈2-3 h</t>
  </si>
  <si>
    <t xml:space="preserve">Taller de torno local</t>
  </si>
  <si>
    <t xml:space="preserve">Latacunga / Quevedo</t>
  </si>
  <si>
    <t xml:space="preserve">Estimado con 10-20 USD/h de torno convencional.</t>
  </si>
  <si>
    <t xml:space="preserve">P01, P02, P17</t>
  </si>
  <si>
    <t xml:space="preserve">Temple y revenido</t>
  </si>
  <si>
    <t xml:space="preserve">1 lote ≈0,7 kg (D2, O1, 17-4PH)</t>
  </si>
  <si>
    <t xml:space="preserve">voestalpine HPM Ecuador (tratamiento térmico propio)</t>
  </si>
  <si>
    <t xml:space="preserve">Quito / Guayaquil</t>
  </si>
  <si>
    <t xml:space="preserve">https://www.voestalpine.com/highperformancemetals/ecuador/es/tratamiento-termico/</t>
  </si>
  <si>
    <t xml:space="preserve">Precio a cotizar; en lotes pequeños manda el mínimo. El D2 se templa a 1.010-1.040 °C: pedir 56-58 HRC. P06 se compra ya bonificado (V320).</t>
  </si>
  <si>
    <t xml:space="preserve">P02, P01</t>
  </si>
  <si>
    <t xml:space="preserve">Afilado de la cuchilla y rectificado del borde del gancho</t>
  </si>
  <si>
    <t xml:space="preserve">2 piezas</t>
  </si>
  <si>
    <t xml:space="preserve">ACEIN / Aceros (Cuchillas Industriales) / Import Sierra</t>
  </si>
  <si>
    <t xml:space="preserve">https://acein.com.ec/servicios/afilado-rectificado/</t>
  </si>
  <si>
    <t xml:space="preserve">Precio a cotizar.</t>
  </si>
  <si>
    <t xml:space="preserve">Plegado de la chapa de 6 mm</t>
  </si>
  <si>
    <t xml:space="preserve">1 pliegue</t>
  </si>
  <si>
    <t xml:space="preserve">Taller de plegado (no se encontró con nombre)</t>
  </si>
  <si>
    <t xml:space="preserve">Estimado. Usar 5052-H32 y radio interior ≥ 9 mm.</t>
  </si>
  <si>
    <t xml:space="preserve">P10, P11, P12, P14, P16, P18, P19</t>
  </si>
  <si>
    <t xml:space="preserve">Impresión 3D de las piezas plásticas</t>
  </si>
  <si>
    <t xml:space="preserve">≈450 g en PETG o nylon</t>
  </si>
  <si>
    <t xml:space="preserve">Prodemaq / Maker Group (Quito); R3lab, Plastigram (Cuenca)</t>
  </si>
  <si>
    <t xml:space="preserve">Quito / Cuenca</t>
  </si>
  <si>
    <t xml:space="preserve">alta</t>
  </si>
  <si>
    <t xml:space="preserve">https://prodemaq.com/servicios/</t>
  </si>
  <si>
    <t xml:space="preserve">Prodemaq publica 0,10-0,25 USD/g (página de ~2023). Pedir PETG o nylon: el PLA se ablanda al sol.</t>
  </si>
  <si>
    <t xml:space="preserve">C. Motor, batería y electrónica</t>
  </si>
  <si>
    <t xml:space="preserve">C</t>
  </si>
  <si>
    <t xml:space="preserve">C01, C02</t>
  </si>
  <si>
    <t xml:space="preserve">Motor sin escobillas 36 V ~400 W con reductor planetario ~15:1 (57 mm)</t>
  </si>
  <si>
    <t xml:space="preserve">1 conjunto</t>
  </si>
  <si>
    <t xml:space="preserve">Importación (AliExpress / Frankhumotor / made-in-china)</t>
  </si>
  <si>
    <t xml:space="preserve">Importación</t>
  </si>
  <si>
    <t xml:space="preserve">https://www.aliexpress.com/w/wholesale-brushless-dc-planetary-gear-motor.html</t>
  </si>
  <si>
    <t xml:space="preserve">No se encontró en Ecuador. Verificar ≥ 300 W y ≥ 13 N·m a la salida del reductor: muchos motores de 57 mm son de 46-140 W.</t>
  </si>
  <si>
    <t xml:space="preserve">Controlador BLDC 36 V con sensores Hall y freno</t>
  </si>
  <si>
    <t xml:space="preserve">1</t>
  </si>
  <si>
    <t xml:space="preserve">Mercado Libre Ecuador (controladores de bicicleta eléctrica)</t>
  </si>
  <si>
    <t xml:space="preserve">Nacional</t>
  </si>
  <si>
    <t xml:space="preserve">https://listado.mercadolibre.com.ec/bicicletas-ciclismo/motor-ebike</t>
  </si>
  <si>
    <t xml:space="preserve">Controlador de bicicleta 36/48 V 350 W ≈ 40 USD en Mercado Libre; importado ≈ 15-20 USD.</t>
  </si>
  <si>
    <t xml:space="preserve">C03, C04</t>
  </si>
  <si>
    <t xml:space="preserve">Kit de husillo de bolas SFU1605 de 300 mm con tuerca, soportes BK12/BF12 y acople</t>
  </si>
  <si>
    <t xml:space="preserve">1 kit</t>
  </si>
  <si>
    <t xml:space="preserve">AliExpress (importación) o Mercado Libre Ecuador</t>
  </si>
  <si>
    <t xml:space="preserve">Importación / nacional</t>
  </si>
  <si>
    <t xml:space="preserve">https://www.aliexpress.us/item/3256804643265503.html</t>
  </si>
  <si>
    <t xml:space="preserve">31-35 USD importado; 108 USD en Mercado Libre Ecuador (sin datos de largo ni soportes).</t>
  </si>
  <si>
    <t xml:space="preserve">Batería de litio 36 V 10S (tipo hoverboard, ≈4 Ah) + cargador de 36 V</t>
  </si>
  <si>
    <t xml:space="preserve">1 + 1</t>
  </si>
  <si>
    <t xml:space="preserve">Mercado Libre Ecuador</t>
  </si>
  <si>
    <t xml:space="preserve">https://listado.mercadolibre.com.ec/bateria-de-litio-36v</t>
  </si>
  <si>
    <t xml:space="preserve">Batería ≈ 70 USD y cargador ≈ 55 USD. Revisar que su BMS dé 15 A o más. Opción más barata para el prototipo; ver alternativas Makita abajo.</t>
  </si>
  <si>
    <t xml:space="preserve">Electrónica: Arduino Nano, sensor Hall, sensor táctil TTP223, conectores XT60, cable espiral, cables</t>
  </si>
  <si>
    <t xml:space="preserve">1 juego</t>
  </si>
  <si>
    <t xml:space="preserve">Mercado Libre Ecuador / Steren</t>
  </si>
  <si>
    <t xml:space="preserve">https://listado.mercadolibre.com.ec/arduino-nano-v3</t>
  </si>
  <si>
    <t xml:space="preserve">Nano 5,70-14 USD; Hall ≈ 1,25; TTP223 1,20-2,50; XT60 1,60-2,50 el par. Cable espiral no encontrado en Ecuador: estimado.</t>
  </si>
  <si>
    <t xml:space="preserve">Importación por courier (categoría B o 4x4)</t>
  </si>
  <si>
    <t xml:space="preserve">1 envío consolidado</t>
  </si>
  <si>
    <t xml:space="preserve">Courier autorizado por el SENAE</t>
  </si>
  <si>
    <t xml:space="preserve">https://www.aduana.gob.ec/gaceta-boletin/nueva-tarifa-para-envios-por-categoria-b-bajo-el-regimen-de-mensajeria-acelerada-o-courier/</t>
  </si>
  <si>
    <t xml:space="preserve">Arancel fijo de 20 USD por envío (desde el 16-06-2025), hasta 4 kg y 400 USD FOB. Más el flete del courier (no investigado). No traer baterías de litio por courier.</t>
  </si>
  <si>
    <t xml:space="preserve">D. Piezas comerciales y accesorios</t>
  </si>
  <si>
    <t xml:space="preserve">D</t>
  </si>
  <si>
    <t xml:space="preserve">Perno con hombro ISO 7379 Ø12 x 25, rosca M10, clase 12.9</t>
  </si>
  <si>
    <t xml:space="preserve">Tornearlo en 4140 en el taller, o importar (ASMC)</t>
  </si>
  <si>
    <t xml:space="preserve">Taller local / importación</t>
  </si>
  <si>
    <t xml:space="preserve">https://www.asmc.net/m12-x-m10-x-25-mm-coarse-thread-iso-7379-class-12-9-socket-shoulder-screw-alloy-steel-black-oxide/</t>
  </si>
  <si>
    <t xml:space="preserve">No se encontró en Ecuador. ASMC: 2,41 USD c/u con compra mínima de 25 (≈60 USD). Ojo: el hombro de Ø12 lleva rosca M10.</t>
  </si>
  <si>
    <t xml:space="preserve">Arandelas Belleville DIN 2093 12,2 x 25</t>
  </si>
  <si>
    <t xml:space="preserve">2</t>
  </si>
  <si>
    <t xml:space="preserve">123Bearing (importación)</t>
  </si>
  <si>
    <t xml:space="preserve">https://www.123bearing.com/accessories/washer/spring-disc-din2093/s4287</t>
  </si>
  <si>
    <t xml:space="preserve">No se encontraron en Ecuador; confirmar si el precio es por unidad.</t>
  </si>
  <si>
    <t xml:space="preserve">Resorte de torsión (0,3 N·m) y pasador Ø6</t>
  </si>
  <si>
    <t xml:space="preserve">Taller de resortes (cotizar) o kit importado (eBay)</t>
  </si>
  <si>
    <t xml:space="preserve">Ambato / Quito / importación</t>
  </si>
  <si>
    <t xml:space="preserve">https://www.ebay.de/itm/157333044301</t>
  </si>
  <si>
    <t xml:space="preserve">Kit de 80 resortes a 20,46 USD, pero pueden ser finos: hace falta alambre de 1,5-2 mm.</t>
  </si>
  <si>
    <t xml:space="preserve">Tornillería: M6 avellanados inoxidables, M6 x 20, tuercas y arandelas</t>
  </si>
  <si>
    <t xml:space="preserve">Kywi (pernos DISMAC) / Mercado Libre Ecuador</t>
  </si>
  <si>
    <t xml:space="preserve">Quito y sucursales</t>
  </si>
  <si>
    <t xml:space="preserve">https://www.kywi.com.ec/perno-c-cilindrica-metrico-m6x20-2u-/p</t>
  </si>
  <si>
    <t xml:space="preserve">M6 x 20 (2 u) a 0,62 USD; avellanados inoxidables ≈ 0,30-0,60 USD c/u (estimado).</t>
  </si>
  <si>
    <t xml:space="preserve">Arnés de hombro para motoguadaña</t>
  </si>
  <si>
    <t xml:space="preserve">https://listado.mercadolibre.com.ec/agro/arnes-para-motoguadana</t>
  </si>
  <si>
    <t xml:space="preserve">Pueden ser arneses acolchados o dobles; basta uno simple de una correa.</t>
  </si>
  <si>
    <t xml:space="preserve">P16, C08</t>
  </si>
  <si>
    <t xml:space="preserve">Mosquetón de acero 5/16" (230 kg) + argolla de 20 mm</t>
  </si>
  <si>
    <t xml:space="preserve">Kywi (FIERO)</t>
  </si>
  <si>
    <t xml:space="preserve">https://www.kywi.com.ec/mosqueton-de-enlace-rapido-de-5-16-x-3-8-x-3-pulgadas-con-capacidad-de-carga-maxima-de-230-kg/p</t>
  </si>
  <si>
    <t xml:space="preserve">Mosquetón 1,22 USD. Argolla inoxidable estimada en 1,5-3 USD.</t>
  </si>
  <si>
    <t xml:space="preserve">Cable de freno de bicicleta con funda + palanca pequeña</t>
  </si>
  <si>
    <t xml:space="preserve">Tienda de bicicletas local / Mercado Libre Ecuador</t>
  </si>
  <si>
    <t xml:space="preserve">Latacunga / Ambato</t>
  </si>
  <si>
    <t xml:space="preserve">https://listado.mercadolibre.com.ec/bicicletas-ciclismo/cable-de-freno-bicicleta</t>
  </si>
  <si>
    <t xml:space="preserve">Estimado: cable 2-5 USD y palanca 5-12 USD (una palanca de ruta cuesta 23 USD en Mercado Libre).</t>
  </si>
  <si>
    <t xml:space="preserve">Puntas de acero para tubo de 12 mm (repuesto de bastón de trekking) + tacos de caucho</t>
  </si>
  <si>
    <t xml:space="preserve">1 par</t>
  </si>
  <si>
    <t xml:space="preserve">Importación (Mountainsmith / Amazon) o tornearlas en el taller</t>
  </si>
  <si>
    <t xml:space="preserve">Importación / taller local</t>
  </si>
  <si>
    <t xml:space="preserve">https://mountainsmith.com/products/carbine-tips</t>
  </si>
  <si>
    <t xml:space="preserve">Puntas de carburo a 5,95 USD el par. Los regatones de bastón de Mercado Libre (5,75 USD el par) suelen ser de 19-22 mm: revisar el diámetro.</t>
  </si>
  <si>
    <t xml:space="preserve">E. Opcionales y alternativas (no suman al total)</t>
  </si>
  <si>
    <t xml:space="preserve">E</t>
  </si>
  <si>
    <t xml:space="preserve">Tubo de fibra de carbono 30 x 26 x 500 mm (versión final)</t>
  </si>
  <si>
    <t xml:space="preserve">Rees52 / carbonfibertubes.net</t>
  </si>
  <si>
    <t xml:space="preserve">https://carbonfibertubes.net/products/od-30mm-x-id-20mm-25mm-26mm-27mm-28mm-x-500mm-100-roll-wrapped-carbon-fiber-tube-3k-tubing-twill-plain-glossy-matte-30-20-30-25-30-26-30-27-30-28</t>
  </si>
  <si>
    <t xml:space="preserve">El prototipo usa tubo de aluminio. No se encontró en Ecuador.</t>
  </si>
  <si>
    <t xml:space="preserve">P03, P05, P13</t>
  </si>
  <si>
    <t xml:space="preserve">Anodizado del aluminio</t>
  </si>
  <si>
    <t xml:space="preserve">1 lote</t>
  </si>
  <si>
    <t xml:space="preserve">Cotizar (FISA, Quito, sin confirmar)</t>
  </si>
  <si>
    <t xml:space="preserve">No hace falta para el prototipo.</t>
  </si>
  <si>
    <t xml:space="preserve">Alternativa de batería: Makita XGT 40 V máx. (36 V) de 4 Ah</t>
  </si>
  <si>
    <t xml:space="preserve">1 (+ cargador XGT a cotizar)</t>
  </si>
  <si>
    <t xml:space="preserve">Pintulac</t>
  </si>
  <si>
    <t xml:space="preserve">https://www.pintulac.com.ec/categorias/herramientas/herramientas-electricas/makita/baterias-y-cargadores-makita.html</t>
  </si>
  <si>
    <t xml:space="preserve">Batería de herramienta, más robusta. El cargador XGT no apareció con precio.</t>
  </si>
  <si>
    <t xml:space="preserve">Alternativa de batería: 2 Makita LXT 18 V 5 Ah en serie (36 V) + cargador DC18SD</t>
  </si>
  <si>
    <t xml:space="preserve">2 + 1</t>
  </si>
  <si>
    <t xml:space="preserve">https://www.pintulac.com.ec/bateria-lxt-litio-5ah-18v-makita.html</t>
  </si>
  <si>
    <t xml:space="preserve">147,48-151,90 USD cada batería y 65,79 USD el cargador. Falta el adaptador doble a cable (importado, sin precio).</t>
  </si>
  <si>
    <t xml:space="preserve">P10, P11, P12, P14, P16, P18</t>
  </si>
  <si>
    <t xml:space="preserve">Filamento, si se imprime en casa: PETG (SKP3D) o nylon (Creality)</t>
  </si>
  <si>
    <t xml:space="preserve">1 kg</t>
  </si>
  <si>
    <t xml:space="preserve">SKP3D / Cmprodemaq (Mercado Libre)</t>
  </si>
  <si>
    <t xml:space="preserve">https://skp3d.com/product-category/consumibles/filamentos/</t>
  </si>
  <si>
    <t xml:space="preserve">Reemplaza la impresión por servicio. El PLA-CF de Novatronic (Riobamba, 30 USD) es PLA: se ablanda al sol.</t>
  </si>
  <si>
    <t xml:space="preserve">Resumen</t>
  </si>
  <si>
    <t xml:space="preserve">Mínimo (USD)</t>
  </si>
  <si>
    <t xml:space="preserve">Máximo (USD)</t>
  </si>
  <si>
    <t xml:space="preserve">Subtotal (A a D)</t>
  </si>
  <si>
    <t xml:space="preserve">Imprevistos (porcentaje editable)</t>
  </si>
  <si>
    <t xml:space="preserve">Total estimado del prototipo</t>
  </si>
  <si>
    <t xml:space="preserve">Cómo leer la confianza</t>
  </si>
  <si>
    <t xml:space="preserve">alta: precio publicado en una tienda de Ecuador.</t>
  </si>
  <si>
    <t xml:space="preserve">media: precio de importación, de otro país o de otra presentación.</t>
  </si>
  <si>
    <t xml:space="preserve">baja: estimado; la nota de cada fila explica cómo se calculó.</t>
  </si>
  <si>
    <t xml:space="preserve">La celda amarilla (imprevistos) se puede cambiar; los totales se recalculan solos.</t>
  </si>
  <si>
    <t xml:space="preserve">Importación por courier</t>
  </si>
  <si>
    <t xml:space="preserve">Régimen courier categoría B (4x4): hasta 4 kg y hasta 400 USD FOB por paquete, para uso personal.</t>
  </si>
  <si>
    <t xml:space="preserve">Cupo anual de 1.600 USD FOB por persona (Resolución COMEX 008-2022). Consulta: https://www.aduana.gob.ec/consultacupos/</t>
  </si>
  <si>
    <t xml:space="preserve">Arancel fijo de 20 USD desde el 16-06-2025 (Resolución COMEX 006-2025), más FODINFA de 0,5 %. Consolidar las compras en un solo envío para pagarlo una vez.</t>
  </si>
  <si>
    <t xml:space="preserve">Si se pasa de 4 kg o de 400 USD, el envío pasa a categoría C: arancel según la partida, FODINFA e IVA del 15 %.</t>
  </si>
  <si>
    <t xml:space="preserve">Las baterías de litio suelen estar restringidas por los couriers: comprarlas en Ecuador.</t>
  </si>
  <si>
    <t xml:space="preserve">Hay una resolución del SENAE de mayo de 2026 (SENAE-SENAE-2026-0041-RE) que no se pudo leer: revisar si cambia algo.</t>
  </si>
  <si>
    <t xml:space="preserve">Fuente: https://www.aduana.gob.ec/regimen-courier-4x4-tendra-arancel-fijo-para-garantizar-su-correcto-uso-y-proteger-la-produccion-nacional/</t>
  </si>
  <si>
    <t xml:space="preserve">Proveedores y talleres encontrados en Ecuador</t>
  </si>
  <si>
    <t xml:space="preserve">Consulta web del 12-oct-2026. Confirmar dirección, existencias y precio antes de viajar.</t>
  </si>
  <si>
    <t xml:space="preserve">Proveedor</t>
  </si>
  <si>
    <t xml:space="preserve">Qué ofrece</t>
  </si>
  <si>
    <t xml:space="preserve">Web</t>
  </si>
  <si>
    <t xml:space="preserve">Quito y Guayaquil</t>
  </si>
  <si>
    <t xml:space="preserve">Aceros de herramienta Böhler (D2 = K110, O1 = K460, 4140 = V320, 17-4PH = N700) y tratamiento térmico propio</t>
  </si>
  <si>
    <t xml:space="preserve">Dipac</t>
  </si>
  <si>
    <t xml:space="preserve">Manta (envío nacional)</t>
  </si>
  <si>
    <t xml:space="preserve">Platinas A36, eje 1018, eje bonificado 4340/705, inoxidable; corte a medida</t>
  </si>
  <si>
    <t xml:space="preserve">https://dipacmanta.com</t>
  </si>
  <si>
    <t xml:space="preserve">Importaceros</t>
  </si>
  <si>
    <t xml:space="preserve">Platinas, planchas de aluminio, inoxidable y tubería</t>
  </si>
  <si>
    <t xml:space="preserve">https://www.importaceros.com</t>
  </si>
  <si>
    <t xml:space="preserve">Dismetal</t>
  </si>
  <si>
    <t xml:space="preserve">Planchas de aluminio y platinas</t>
  </si>
  <si>
    <t xml:space="preserve">https://dismetal.ec</t>
  </si>
  <si>
    <t xml:space="preserve">Cedal</t>
  </si>
  <si>
    <t xml:space="preserve">Latacunga</t>
  </si>
  <si>
    <t xml:space="preserve">Extrusora de aluminio: posible tubo Ø30 y Ø12 (no verificado)</t>
  </si>
  <si>
    <t xml:space="preserve">Sutin - Suministros Técnicos Industriales</t>
  </si>
  <si>
    <t xml:space="preserve">Guayaquil, tel. (04) 2881484</t>
  </si>
  <si>
    <t xml:space="preserve">Plásticos de ingeniería: UHMW, nylon, PTFE, acetal</t>
  </si>
  <si>
    <t xml:space="preserve">https://www.sutin.ec</t>
  </si>
  <si>
    <t xml:space="preserve">Prosoldes</t>
  </si>
  <si>
    <t xml:space="preserve">Guayaquil (por verificar)</t>
  </si>
  <si>
    <t xml:space="preserve">Corte láser de fibra de 1 a 16 mm, oxicorte y plasma</t>
  </si>
  <si>
    <t xml:space="preserve">https://prosoldes.com</t>
  </si>
  <si>
    <t xml:space="preserve">Stands Creativa</t>
  </si>
  <si>
    <t xml:space="preserve">Quito (envía a todo el país)</t>
  </si>
  <si>
    <t xml:space="preserve">Corte láser y plasma de acero, inoxidable y aluminio</t>
  </si>
  <si>
    <t xml:space="preserve">https://standscreativa.com</t>
  </si>
  <si>
    <t xml:space="preserve">Prosergraf</t>
  </si>
  <si>
    <t xml:space="preserve">Corte láser</t>
  </si>
  <si>
    <t xml:space="preserve">http://prosergraf.com</t>
  </si>
  <si>
    <t xml:space="preserve">Láser Metal Quito (Metalmachine)</t>
  </si>
  <si>
    <t xml:space="preserve">Corte láser de acero hasta 6 mm</t>
  </si>
  <si>
    <t xml:space="preserve">https://lasermetalquito.com.ec</t>
  </si>
  <si>
    <t xml:space="preserve">R3lab</t>
  </si>
  <si>
    <t xml:space="preserve">Cuenca (envía a Ambato)</t>
  </si>
  <si>
    <t xml:space="preserve">Corte láser de fibra e impresión 3D</t>
  </si>
  <si>
    <t xml:space="preserve">https://r3labecuador.com</t>
  </si>
  <si>
    <t xml:space="preserve">Lathe Center</t>
  </si>
  <si>
    <t xml:space="preserve">Quito; atiende en Latacunga y Machachi</t>
  </si>
  <si>
    <t xml:space="preserve">Torno y fresado CNC</t>
  </si>
  <si>
    <t xml:space="preserve">https://lathecenter.com</t>
  </si>
  <si>
    <t xml:space="preserve">ACEIN</t>
  </si>
  <si>
    <t xml:space="preserve">Afilado y rectificado industrial</t>
  </si>
  <si>
    <t xml:space="preserve">https://acein.com.ec</t>
  </si>
  <si>
    <t xml:space="preserve">Aceros (Cuchillas Industriales Ecuador)</t>
  </si>
  <si>
    <t xml:space="preserve">Fabricación y afilado de cuchillas</t>
  </si>
  <si>
    <t xml:space="preserve">https://aceros.ec</t>
  </si>
  <si>
    <t xml:space="preserve">Import Sierra</t>
  </si>
  <si>
    <t xml:space="preserve">Afilado de cuchillas y sierras</t>
  </si>
  <si>
    <t xml:space="preserve">https://importsierra.com</t>
  </si>
  <si>
    <t xml:space="preserve">Prodemaq</t>
  </si>
  <si>
    <t xml:space="preserve">Impresión 3D (0,10-0,25 USD/g)</t>
  </si>
  <si>
    <t xml:space="preserve">https://prodemaq.com</t>
  </si>
  <si>
    <t xml:space="preserve">Maker Group</t>
  </si>
  <si>
    <t xml:space="preserve">Diseño e impresión 3D</t>
  </si>
  <si>
    <t xml:space="preserve">https://www.makergroupecuador.com</t>
  </si>
  <si>
    <t xml:space="preserve">SKP3D</t>
  </si>
  <si>
    <t xml:space="preserve">Filamentos e impresoras 3D</t>
  </si>
  <si>
    <t xml:space="preserve">https://skp3d.com</t>
  </si>
  <si>
    <t xml:space="preserve">Novatronic</t>
  </si>
  <si>
    <t xml:space="preserve">Riobamba</t>
  </si>
  <si>
    <t xml:space="preserve">Electrónica y filamentos 3D</t>
  </si>
  <si>
    <t xml:space="preserve">https://novatronicec.com</t>
  </si>
  <si>
    <t xml:space="preserve">Nacional (en línea)</t>
  </si>
  <si>
    <t xml:space="preserve">Baterías y cargadores Makita</t>
  </si>
  <si>
    <t xml:space="preserve">https://www.pintulac.com.ec</t>
  </si>
  <si>
    <t xml:space="preserve">DeWalt Ecuador / Promart</t>
  </si>
  <si>
    <t xml:space="preserve">Baterías DeWalt (las FlexVolt son de 54 V: no sirven con un controlador de 36 V)</t>
  </si>
  <si>
    <t xml:space="preserve">https://dewalt.ec</t>
  </si>
  <si>
    <t xml:space="preserve">Kywi</t>
  </si>
  <si>
    <t xml:space="preserve">Tornillería DISMAC, mosquetones, velcro, regatones</t>
  </si>
  <si>
    <t xml:space="preserve">https://www.kywi.com.ec</t>
  </si>
  <si>
    <t xml:space="preserve">Steren Ecuador</t>
  </si>
  <si>
    <t xml:space="preserve">Electrónica (placa Nano)</t>
  </si>
  <si>
    <t xml:space="preserve">https://www.steren.com.ec</t>
  </si>
  <si>
    <t xml:space="preserve">Envío nacional</t>
  </si>
  <si>
    <t xml:space="preserve">Arneses, husillos, controladores, baterías 36 V, electrónica, tubos</t>
  </si>
  <si>
    <t xml:space="preserve">https://www.mercadolibre.com.ec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</si>
</sst>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B6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B42318"/>
      <name val="Arial"/>
      <family val="0"/>
      <charset val="1"/>
    </font>
    <font>
      <u val="single"/>
      <sz val="9"/>
      <color rgb="FF1F5FAD"/>
      <name val="Arial"/>
      <family val="0"/>
      <charset val="1"/>
    </font>
    <font>
      <sz val="10"/>
      <color rgb="FF8A6D00"/>
      <name val="Arial"/>
      <family val="0"/>
      <charset val="1"/>
    </font>
    <font>
      <sz val="10"/>
      <color rgb="FF1E7B34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1F5FAD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9EC"/>
        <bgColor rgb="FFF3F4F6"/>
      </patternFill>
    </fill>
    <fill>
      <patternFill patternType="solid">
        <fgColor rgb="FFF3F4F6"/>
        <bgColor rgb="FFE7E9EC"/>
      </patternFill>
    </fill>
    <fill>
      <patternFill patternType="solid">
        <fgColor rgb="FFFFF6BF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5BAC1"/>
      </left>
      <right style="thin">
        <color rgb="FFB5BAC1"/>
      </right>
      <top style="thin">
        <color rgb="FFB5BAC1"/>
      </top>
      <bottom style="thin">
        <color rgb="FFB5BA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4F6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A6D00"/>
      <rgbColor rgb="FF800080"/>
      <rgbColor rgb="FF008080"/>
      <rgbColor rgb="FFB5BAC1"/>
      <rgbColor rgb="FF808080"/>
      <rgbColor rgb="FF9999FF"/>
      <rgbColor rgb="FF993366"/>
      <rgbColor rgb="FFFFF6BF"/>
      <rgbColor rgb="FFE7E9EC"/>
      <rgbColor rgb="FF660066"/>
      <rgbColor rgb="FFFF8080"/>
      <rgbColor rgb="FF1F5FA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B63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voestalpine.com/highperformancemetals/ecuador/es/" TargetMode="External"/><Relationship Id="rId2" Type="http://schemas.openxmlformats.org/officeDocument/2006/relationships/hyperlink" Target="https://voestalpine.com/highperformancemetals/ecuador/es/bohler/tabla-de-colores-bohler-digital_compressed" TargetMode="External"/><Relationship Id="rId3" Type="http://schemas.openxmlformats.org/officeDocument/2006/relationships/hyperlink" Target="https://dipacmanta.com/ejes-dipac-2/" TargetMode="External"/><Relationship Id="rId4" Type="http://schemas.openxmlformats.org/officeDocument/2006/relationships/hyperlink" Target="https://dismetal.ec/productos/planchas/aluminio-liso" TargetMode="External"/><Relationship Id="rId5" Type="http://schemas.openxmlformats.org/officeDocument/2006/relationships/hyperlink" Target="https://www.importaceros.com/" TargetMode="External"/><Relationship Id="rId6" Type="http://schemas.openxmlformats.org/officeDocument/2006/relationships/hyperlink" Target="https://dismetal.ec/productos/planchas/aluminio-liso" TargetMode="External"/><Relationship Id="rId7" Type="http://schemas.openxmlformats.org/officeDocument/2006/relationships/hyperlink" Target="https://listado.mercadolibre.com.ec/tubo-redondo-de-aluminio" TargetMode="External"/><Relationship Id="rId8" Type="http://schemas.openxmlformats.org/officeDocument/2006/relationships/hyperlink" Target="https://www.sutin.ec/productos/plasticos-de-ingenieria" TargetMode="External"/><Relationship Id="rId9" Type="http://schemas.openxmlformats.org/officeDocument/2006/relationships/hyperlink" Target="https://voestalpine.com/highperformancemetals/ecuador/es/" TargetMode="External"/><Relationship Id="rId10" Type="http://schemas.openxmlformats.org/officeDocument/2006/relationships/hyperlink" Target="https://listado.mercadolibre.com.ec/goma-eva" TargetMode="External"/><Relationship Id="rId11" Type="http://schemas.openxmlformats.org/officeDocument/2006/relationships/hyperlink" Target="https://prosoldes.com/servicios/corte-por-laser-de-fibra-optica-oxi-y-plasma/" TargetMode="External"/><Relationship Id="rId12" Type="http://schemas.openxmlformats.org/officeDocument/2006/relationships/hyperlink" Target="https://lathecenter.com/" TargetMode="External"/><Relationship Id="rId13" Type="http://schemas.openxmlformats.org/officeDocument/2006/relationships/hyperlink" Target="https://www.voestalpine.com/highperformancemetals/ecuador/es/tratamiento-termico/" TargetMode="External"/><Relationship Id="rId14" Type="http://schemas.openxmlformats.org/officeDocument/2006/relationships/hyperlink" Target="https://acein.com.ec/servicios/afilado-rectificado/" TargetMode="External"/><Relationship Id="rId15" Type="http://schemas.openxmlformats.org/officeDocument/2006/relationships/hyperlink" Target="https://prodemaq.com/servicios/" TargetMode="External"/><Relationship Id="rId16" Type="http://schemas.openxmlformats.org/officeDocument/2006/relationships/hyperlink" Target="https://www.aliexpress.com/w/wholesale-brushless-dc-planetary-gear-motor.html" TargetMode="External"/><Relationship Id="rId17" Type="http://schemas.openxmlformats.org/officeDocument/2006/relationships/hyperlink" Target="https://listado.mercadolibre.com.ec/bicicletas-ciclismo/motor-ebike" TargetMode="External"/><Relationship Id="rId18" Type="http://schemas.openxmlformats.org/officeDocument/2006/relationships/hyperlink" Target="https://www.aliexpress.us/item/3256804643265503.html" TargetMode="External"/><Relationship Id="rId19" Type="http://schemas.openxmlformats.org/officeDocument/2006/relationships/hyperlink" Target="https://listado.mercadolibre.com.ec/bateria-de-litio-36v" TargetMode="External"/><Relationship Id="rId20" Type="http://schemas.openxmlformats.org/officeDocument/2006/relationships/hyperlink" Target="https://listado.mercadolibre.com.ec/arduino-nano-v3" TargetMode="External"/><Relationship Id="rId21" Type="http://schemas.openxmlformats.org/officeDocument/2006/relationships/hyperlink" Target="https://www.aduana.gob.ec/gaceta-boletin/nueva-tarifa-para-envios-por-categoria-b-bajo-el-regimen-de-mensajeria-acelerada-o-courier/" TargetMode="External"/><Relationship Id="rId22" Type="http://schemas.openxmlformats.org/officeDocument/2006/relationships/hyperlink" Target="https://www.asmc.net/m12-x-m10-x-25-mm-coarse-thread-iso-7379-class-12-9-socket-shoulder-screw-alloy-steel-black-oxide/" TargetMode="External"/><Relationship Id="rId23" Type="http://schemas.openxmlformats.org/officeDocument/2006/relationships/hyperlink" Target="https://www.123bearing.com/accessories/washer/spring-disc-din2093/s4287" TargetMode="External"/><Relationship Id="rId24" Type="http://schemas.openxmlformats.org/officeDocument/2006/relationships/hyperlink" Target="https://www.ebay.de/itm/157333044301" TargetMode="External"/><Relationship Id="rId25" Type="http://schemas.openxmlformats.org/officeDocument/2006/relationships/hyperlink" Target="https://www.kywi.com.ec/perno-c-cilindrica-metrico-m6x20-2u-/p" TargetMode="External"/><Relationship Id="rId26" Type="http://schemas.openxmlformats.org/officeDocument/2006/relationships/hyperlink" Target="https://listado.mercadolibre.com.ec/agro/arnes-para-motoguadana" TargetMode="External"/><Relationship Id="rId27" Type="http://schemas.openxmlformats.org/officeDocument/2006/relationships/hyperlink" Target="https://www.kywi.com.ec/mosqueton-de-enlace-rapido-de-5-16-x-3-8-x-3-pulgadas-con-capacidad-de-carga-maxima-de-230-kg/p" TargetMode="External"/><Relationship Id="rId28" Type="http://schemas.openxmlformats.org/officeDocument/2006/relationships/hyperlink" Target="https://listado.mercadolibre.com.ec/bicicletas-ciclismo/cable-de-freno-bicicleta" TargetMode="External"/><Relationship Id="rId29" Type="http://schemas.openxmlformats.org/officeDocument/2006/relationships/hyperlink" Target="https://mountainsmith.com/products/carbine-tips" TargetMode="External"/><Relationship Id="rId30" Type="http://schemas.openxmlformats.org/officeDocument/2006/relationships/hyperlink" Target="https://carbonfibertubes.net/products/od-30mm-x-id-20mm-25mm-26mm-27mm-28mm-x-500mm-100-roll-wrapped-carbon-fiber-tube-3k-tubing-twill-plain-glossy-matte-30-20-30-25-30-26-30-27-30-28" TargetMode="External"/><Relationship Id="rId31" Type="http://schemas.openxmlformats.org/officeDocument/2006/relationships/hyperlink" Target="https://www.pintulac.com.ec/categorias/herramientas/herramientas-electricas/makita/baterias-y-cargadores-makita.html" TargetMode="External"/><Relationship Id="rId32" Type="http://schemas.openxmlformats.org/officeDocument/2006/relationships/hyperlink" Target="https://www.pintulac.com.ec/bateria-lxt-litio-5ah-18v-makita.html" TargetMode="External"/><Relationship Id="rId33" Type="http://schemas.openxmlformats.org/officeDocument/2006/relationships/hyperlink" Target="https://skp3d.com/product-category/consumibles/filamentos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voestalpine.com/highperformancemetals/ecuador/es/" TargetMode="External"/><Relationship Id="rId2" Type="http://schemas.openxmlformats.org/officeDocument/2006/relationships/hyperlink" Target="https://dipacmanta.com/" TargetMode="External"/><Relationship Id="rId3" Type="http://schemas.openxmlformats.org/officeDocument/2006/relationships/hyperlink" Target="https://www.importaceros.com/" TargetMode="External"/><Relationship Id="rId4" Type="http://schemas.openxmlformats.org/officeDocument/2006/relationships/hyperlink" Target="https://dismetal.ec/" TargetMode="External"/><Relationship Id="rId5" Type="http://schemas.openxmlformats.org/officeDocument/2006/relationships/hyperlink" Target="https://www.sutin.ec/" TargetMode="External"/><Relationship Id="rId6" Type="http://schemas.openxmlformats.org/officeDocument/2006/relationships/hyperlink" Target="https://prosoldes.com/" TargetMode="External"/><Relationship Id="rId7" Type="http://schemas.openxmlformats.org/officeDocument/2006/relationships/hyperlink" Target="https://standscreativa.com/" TargetMode="External"/><Relationship Id="rId8" Type="http://schemas.openxmlformats.org/officeDocument/2006/relationships/hyperlink" Target="http://prosergraf.com/" TargetMode="External"/><Relationship Id="rId9" Type="http://schemas.openxmlformats.org/officeDocument/2006/relationships/hyperlink" Target="https://lasermetalquito.com.ec/" TargetMode="External"/><Relationship Id="rId10" Type="http://schemas.openxmlformats.org/officeDocument/2006/relationships/hyperlink" Target="https://r3labecuador.com/" TargetMode="External"/><Relationship Id="rId11" Type="http://schemas.openxmlformats.org/officeDocument/2006/relationships/hyperlink" Target="https://lathecenter.com/" TargetMode="External"/><Relationship Id="rId12" Type="http://schemas.openxmlformats.org/officeDocument/2006/relationships/hyperlink" Target="https://acein.com.ec/" TargetMode="External"/><Relationship Id="rId13" Type="http://schemas.openxmlformats.org/officeDocument/2006/relationships/hyperlink" Target="https://aceros.ec/" TargetMode="External"/><Relationship Id="rId14" Type="http://schemas.openxmlformats.org/officeDocument/2006/relationships/hyperlink" Target="https://importsierra.com/" TargetMode="External"/><Relationship Id="rId15" Type="http://schemas.openxmlformats.org/officeDocument/2006/relationships/hyperlink" Target="https://prodemaq.com/" TargetMode="External"/><Relationship Id="rId16" Type="http://schemas.openxmlformats.org/officeDocument/2006/relationships/hyperlink" Target="https://www.makergroupecuador.com/" TargetMode="External"/><Relationship Id="rId17" Type="http://schemas.openxmlformats.org/officeDocument/2006/relationships/hyperlink" Target="https://skp3d.com/" TargetMode="External"/><Relationship Id="rId18" Type="http://schemas.openxmlformats.org/officeDocument/2006/relationships/hyperlink" Target="https://novatronicec.com/" TargetMode="External"/><Relationship Id="rId19" Type="http://schemas.openxmlformats.org/officeDocument/2006/relationships/hyperlink" Target="https://www.pintulac.com.ec/" TargetMode="External"/><Relationship Id="rId20" Type="http://schemas.openxmlformats.org/officeDocument/2006/relationships/hyperlink" Target="https://dewalt.ec/" TargetMode="External"/><Relationship Id="rId21" Type="http://schemas.openxmlformats.org/officeDocument/2006/relationships/hyperlink" Target="https://www.kywi.com.ec/" TargetMode="External"/><Relationship Id="rId22" Type="http://schemas.openxmlformats.org/officeDocument/2006/relationships/hyperlink" Target="https://www.steren.com.ec/" TargetMode="External"/><Relationship Id="rId23" Type="http://schemas.openxmlformats.org/officeDocument/2006/relationships/hyperlink" Target="https://www.mercadolibre.com.ec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6"/>
    <col collapsed="false" customWidth="true" hidden="false" outlineLevel="0" max="7" min="6" style="0" width="12"/>
    <col collapsed="false" customWidth="true" hidden="false" outlineLevel="0" max="8" min="8" style="0" width="58"/>
    <col collapsed="false" customWidth="true" hidden="false" outlineLevel="0" max="10" min="9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3.85" hidden="false" customHeight="false" outlineLevel="0" collapsed="false">
      <c r="A5" s="4" t="s">
        <v>12</v>
      </c>
      <c r="B5" s="5" t="s">
        <v>13</v>
      </c>
      <c r="C5" s="4" t="s">
        <v>14</v>
      </c>
      <c r="D5" s="5" t="s">
        <v>15</v>
      </c>
      <c r="E5" s="4" t="n">
        <v>1</v>
      </c>
      <c r="F5" s="6" t="n">
        <v>426</v>
      </c>
      <c r="G5" s="6" t="n">
        <f aca="false">E5*F5</f>
        <v>426</v>
      </c>
      <c r="H5" s="5" t="s">
        <v>16</v>
      </c>
      <c r="I5" s="4" t="s">
        <v>17</v>
      </c>
      <c r="J5" s="4" t="s">
        <v>18</v>
      </c>
    </row>
    <row r="6" customFormat="false" ht="35.05" hidden="false" customHeight="false" outlineLevel="0" collapsed="false">
      <c r="A6" s="4" t="s">
        <v>19</v>
      </c>
      <c r="B6" s="5" t="s">
        <v>20</v>
      </c>
      <c r="C6" s="4" t="s">
        <v>14</v>
      </c>
      <c r="D6" s="5" t="s">
        <v>21</v>
      </c>
      <c r="E6" s="4" t="n">
        <v>1</v>
      </c>
      <c r="F6" s="6" t="n">
        <v>273</v>
      </c>
      <c r="G6" s="6" t="n">
        <f aca="false">E6*F6</f>
        <v>273</v>
      </c>
      <c r="H6" s="5" t="s">
        <v>22</v>
      </c>
      <c r="I6" s="4" t="s">
        <v>23</v>
      </c>
      <c r="J6" s="4" t="s">
        <v>24</v>
      </c>
    </row>
    <row r="7" customFormat="false" ht="23.85" hidden="false" customHeight="false" outlineLevel="0" collapsed="false">
      <c r="A7" s="4" t="s">
        <v>25</v>
      </c>
      <c r="B7" s="5" t="s">
        <v>26</v>
      </c>
      <c r="C7" s="4" t="s">
        <v>14</v>
      </c>
      <c r="D7" s="5" t="s">
        <v>27</v>
      </c>
      <c r="E7" s="4" t="n">
        <v>1</v>
      </c>
      <c r="F7" s="6" t="n">
        <v>296</v>
      </c>
      <c r="G7" s="6" t="n">
        <f aca="false">E7*F7</f>
        <v>296</v>
      </c>
      <c r="H7" s="5" t="s">
        <v>28</v>
      </c>
      <c r="I7" s="4" t="s">
        <v>29</v>
      </c>
      <c r="J7" s="4" t="s">
        <v>30</v>
      </c>
    </row>
    <row r="8" customFormat="false" ht="23.85" hidden="false" customHeight="false" outlineLevel="0" collapsed="false">
      <c r="A8" s="4" t="s">
        <v>31</v>
      </c>
      <c r="B8" s="5" t="s">
        <v>32</v>
      </c>
      <c r="C8" s="4" t="s">
        <v>14</v>
      </c>
      <c r="D8" s="5" t="s">
        <v>33</v>
      </c>
      <c r="E8" s="4" t="n">
        <v>1</v>
      </c>
      <c r="F8" s="6" t="n">
        <v>60</v>
      </c>
      <c r="G8" s="6" t="n">
        <f aca="false">E8*F8</f>
        <v>60</v>
      </c>
      <c r="H8" s="5" t="s">
        <v>34</v>
      </c>
      <c r="I8" s="4" t="s">
        <v>35</v>
      </c>
      <c r="J8" s="4" t="s">
        <v>36</v>
      </c>
    </row>
    <row r="9" customFormat="false" ht="15" hidden="false" customHeight="false" outlineLevel="0" collapsed="false">
      <c r="A9" s="4" t="s">
        <v>37</v>
      </c>
      <c r="B9" s="5" t="s">
        <v>38</v>
      </c>
      <c r="C9" s="4" t="s">
        <v>14</v>
      </c>
      <c r="D9" s="5" t="s">
        <v>39</v>
      </c>
      <c r="E9" s="4" t="n">
        <v>1</v>
      </c>
      <c r="F9" s="6" t="n">
        <v>569</v>
      </c>
      <c r="G9" s="6" t="n">
        <f aca="false">E9*F9</f>
        <v>569</v>
      </c>
      <c r="H9" s="5" t="s">
        <v>40</v>
      </c>
      <c r="I9" s="4" t="s">
        <v>41</v>
      </c>
      <c r="J9" s="4" t="s">
        <v>42</v>
      </c>
    </row>
    <row r="10" customFormat="false" ht="15" hidden="false" customHeight="false" outlineLevel="0" collapsed="false">
      <c r="A10" s="4" t="s">
        <v>43</v>
      </c>
      <c r="B10" s="5" t="s">
        <v>44</v>
      </c>
      <c r="C10" s="4" t="s">
        <v>14</v>
      </c>
      <c r="D10" s="5" t="s">
        <v>45</v>
      </c>
      <c r="E10" s="4" t="n">
        <v>1</v>
      </c>
      <c r="F10" s="6" t="n">
        <v>96</v>
      </c>
      <c r="G10" s="6" t="n">
        <f aca="false">E10*F10</f>
        <v>96</v>
      </c>
      <c r="H10" s="5" t="s">
        <v>46</v>
      </c>
      <c r="I10" s="4" t="s">
        <v>47</v>
      </c>
      <c r="J10" s="4" t="s">
        <v>48</v>
      </c>
    </row>
    <row r="11" customFormat="false" ht="15" hidden="false" customHeight="false" outlineLevel="0" collapsed="false">
      <c r="A11" s="4" t="s">
        <v>49</v>
      </c>
      <c r="B11" s="5" t="s">
        <v>50</v>
      </c>
      <c r="C11" s="4" t="s">
        <v>14</v>
      </c>
      <c r="D11" s="5" t="s">
        <v>51</v>
      </c>
      <c r="E11" s="4" t="n">
        <v>1</v>
      </c>
      <c r="F11" s="6" t="n">
        <v>80</v>
      </c>
      <c r="G11" s="6" t="n">
        <f aca="false">E11*F11</f>
        <v>80</v>
      </c>
      <c r="H11" s="5" t="s">
        <v>52</v>
      </c>
      <c r="I11" s="4" t="s">
        <v>53</v>
      </c>
      <c r="J11" s="4" t="s">
        <v>54</v>
      </c>
    </row>
    <row r="12" customFormat="false" ht="23.85" hidden="false" customHeight="false" outlineLevel="0" collapsed="false">
      <c r="A12" s="4" t="s">
        <v>55</v>
      </c>
      <c r="B12" s="5" t="s">
        <v>56</v>
      </c>
      <c r="C12" s="4" t="s">
        <v>57</v>
      </c>
      <c r="D12" s="5" t="s">
        <v>58</v>
      </c>
      <c r="E12" s="4" t="n">
        <v>1</v>
      </c>
      <c r="F12" s="6" t="n">
        <v>134</v>
      </c>
      <c r="G12" s="6" t="n">
        <f aca="false">E12*F12</f>
        <v>134</v>
      </c>
      <c r="H12" s="5" t="s">
        <v>59</v>
      </c>
      <c r="I12" s="4" t="s">
        <v>60</v>
      </c>
      <c r="J12" s="4" t="s">
        <v>61</v>
      </c>
    </row>
    <row r="13" customFormat="false" ht="15" hidden="false" customHeight="false" outlineLevel="0" collapsed="false">
      <c r="A13" s="4" t="s">
        <v>62</v>
      </c>
      <c r="B13" s="5" t="s">
        <v>63</v>
      </c>
      <c r="C13" s="4" t="s">
        <v>57</v>
      </c>
      <c r="D13" s="5" t="s">
        <v>64</v>
      </c>
      <c r="E13" s="4" t="n">
        <v>1</v>
      </c>
      <c r="F13" s="6" t="n">
        <v>62</v>
      </c>
      <c r="G13" s="6" t="n">
        <f aca="false">E13*F13</f>
        <v>62</v>
      </c>
      <c r="H13" s="5" t="s">
        <v>65</v>
      </c>
      <c r="I13" s="4" t="s">
        <v>66</v>
      </c>
      <c r="J13" s="4" t="s">
        <v>67</v>
      </c>
    </row>
    <row r="14" customFormat="false" ht="15" hidden="false" customHeight="false" outlineLevel="0" collapsed="false">
      <c r="A14" s="4" t="s">
        <v>68</v>
      </c>
      <c r="B14" s="5" t="s">
        <v>69</v>
      </c>
      <c r="C14" s="4" t="s">
        <v>57</v>
      </c>
      <c r="D14" s="5" t="s">
        <v>70</v>
      </c>
      <c r="E14" s="4" t="n">
        <v>1</v>
      </c>
      <c r="F14" s="6" t="n">
        <v>153</v>
      </c>
      <c r="G14" s="6" t="n">
        <f aca="false">E14*F14</f>
        <v>153</v>
      </c>
      <c r="H14" s="5" t="s">
        <v>71</v>
      </c>
      <c r="I14" s="4" t="s">
        <v>72</v>
      </c>
      <c r="J14" s="4" t="s">
        <v>73</v>
      </c>
    </row>
    <row r="15" customFormat="false" ht="23.85" hidden="false" customHeight="false" outlineLevel="0" collapsed="false">
      <c r="A15" s="4" t="s">
        <v>74</v>
      </c>
      <c r="B15" s="5" t="s">
        <v>75</v>
      </c>
      <c r="C15" s="4" t="s">
        <v>57</v>
      </c>
      <c r="D15" s="5" t="s">
        <v>76</v>
      </c>
      <c r="E15" s="4" t="n">
        <v>1</v>
      </c>
      <c r="F15" s="6" t="n">
        <v>156</v>
      </c>
      <c r="G15" s="6" t="n">
        <f aca="false">E15*F15</f>
        <v>156</v>
      </c>
      <c r="H15" s="5" t="s">
        <v>77</v>
      </c>
      <c r="I15" s="4" t="s">
        <v>78</v>
      </c>
      <c r="J15" s="4" t="s">
        <v>79</v>
      </c>
    </row>
    <row r="16" customFormat="false" ht="15" hidden="false" customHeight="false" outlineLevel="0" collapsed="false">
      <c r="A16" s="4" t="s">
        <v>80</v>
      </c>
      <c r="B16" s="5" t="s">
        <v>81</v>
      </c>
      <c r="C16" s="4" t="s">
        <v>57</v>
      </c>
      <c r="D16" s="5" t="s">
        <v>82</v>
      </c>
      <c r="E16" s="4" t="n">
        <v>1</v>
      </c>
      <c r="F16" s="6" t="n">
        <v>39</v>
      </c>
      <c r="G16" s="6" t="n">
        <f aca="false">E16*F16</f>
        <v>39</v>
      </c>
      <c r="H16" s="5" t="s">
        <v>83</v>
      </c>
      <c r="I16" s="4" t="s">
        <v>84</v>
      </c>
      <c r="J16" s="4" t="s">
        <v>85</v>
      </c>
    </row>
    <row r="17" customFormat="false" ht="23.85" hidden="false" customHeight="false" outlineLevel="0" collapsed="false">
      <c r="A17" s="4" t="s">
        <v>86</v>
      </c>
      <c r="B17" s="5" t="s">
        <v>87</v>
      </c>
      <c r="C17" s="4" t="s">
        <v>88</v>
      </c>
      <c r="D17" s="5" t="s">
        <v>89</v>
      </c>
      <c r="E17" s="4" t="n">
        <v>1</v>
      </c>
      <c r="F17" s="6" t="n">
        <v>111</v>
      </c>
      <c r="G17" s="6" t="n">
        <f aca="false">E17*F17</f>
        <v>111</v>
      </c>
      <c r="H17" s="5" t="s">
        <v>90</v>
      </c>
      <c r="I17" s="4" t="s">
        <v>91</v>
      </c>
      <c r="J17" s="4" t="s">
        <v>92</v>
      </c>
    </row>
    <row r="18" customFormat="false" ht="15" hidden="false" customHeight="false" outlineLevel="0" collapsed="false">
      <c r="A18" s="4" t="s">
        <v>93</v>
      </c>
      <c r="B18" s="5" t="s">
        <v>94</v>
      </c>
      <c r="C18" s="4" t="s">
        <v>88</v>
      </c>
      <c r="D18" s="5" t="s">
        <v>95</v>
      </c>
      <c r="E18" s="4" t="n">
        <v>1</v>
      </c>
      <c r="F18" s="6" t="n">
        <v>75</v>
      </c>
      <c r="G18" s="6" t="n">
        <f aca="false">E18*F18</f>
        <v>75</v>
      </c>
      <c r="H18" s="5" t="s">
        <v>96</v>
      </c>
      <c r="I18" s="4" t="s">
        <v>97</v>
      </c>
      <c r="J18" s="4" t="s">
        <v>98</v>
      </c>
    </row>
    <row r="19" customFormat="false" ht="23.85" hidden="false" customHeight="false" outlineLevel="0" collapsed="false">
      <c r="A19" s="4" t="s">
        <v>99</v>
      </c>
      <c r="B19" s="5" t="s">
        <v>100</v>
      </c>
      <c r="C19" s="4" t="s">
        <v>88</v>
      </c>
      <c r="D19" s="5" t="s">
        <v>101</v>
      </c>
      <c r="E19" s="4" t="n">
        <v>1</v>
      </c>
      <c r="F19" s="6" t="n">
        <v>11</v>
      </c>
      <c r="G19" s="6" t="n">
        <f aca="false">E19*F19</f>
        <v>11</v>
      </c>
      <c r="H19" s="5" t="s">
        <v>102</v>
      </c>
      <c r="I19" s="4" t="s">
        <v>103</v>
      </c>
      <c r="J19" s="4" t="s">
        <v>104</v>
      </c>
    </row>
    <row r="20" customFormat="false" ht="15" hidden="false" customHeight="false" outlineLevel="0" collapsed="false">
      <c r="A20" s="4" t="s">
        <v>105</v>
      </c>
      <c r="B20" s="5" t="s">
        <v>106</v>
      </c>
      <c r="C20" s="4" t="s">
        <v>57</v>
      </c>
      <c r="D20" s="5" t="s">
        <v>107</v>
      </c>
      <c r="E20" s="4" t="n">
        <v>1</v>
      </c>
      <c r="F20" s="6" t="n">
        <v>24</v>
      </c>
      <c r="G20" s="6" t="n">
        <f aca="false">E20*F20</f>
        <v>24</v>
      </c>
      <c r="H20" s="5" t="s">
        <v>108</v>
      </c>
      <c r="I20" s="4" t="s">
        <v>109</v>
      </c>
      <c r="J20" s="4" t="s">
        <v>110</v>
      </c>
    </row>
    <row r="21" customFormat="false" ht="23.85" hidden="false" customHeight="false" outlineLevel="0" collapsed="false">
      <c r="A21" s="4" t="s">
        <v>111</v>
      </c>
      <c r="B21" s="5" t="s">
        <v>112</v>
      </c>
      <c r="C21" s="4" t="s">
        <v>14</v>
      </c>
      <c r="D21" s="5" t="s">
        <v>113</v>
      </c>
      <c r="E21" s="4" t="n">
        <v>1</v>
      </c>
      <c r="F21" s="6" t="n">
        <v>52</v>
      </c>
      <c r="G21" s="6" t="n">
        <f aca="false">E21*F21</f>
        <v>52</v>
      </c>
      <c r="H21" s="5" t="s">
        <v>114</v>
      </c>
      <c r="I21" s="4" t="s">
        <v>115</v>
      </c>
      <c r="J21" s="4" t="s">
        <v>116</v>
      </c>
    </row>
    <row r="22" customFormat="false" ht="15" hidden="false" customHeight="false" outlineLevel="0" collapsed="false">
      <c r="A22" s="4" t="s">
        <v>117</v>
      </c>
      <c r="B22" s="5" t="s">
        <v>118</v>
      </c>
      <c r="C22" s="4" t="s">
        <v>57</v>
      </c>
      <c r="D22" s="5" t="s">
        <v>119</v>
      </c>
      <c r="E22" s="4" t="n">
        <v>1</v>
      </c>
      <c r="F22" s="6" t="n">
        <v>4</v>
      </c>
      <c r="G22" s="6" t="n">
        <f aca="false">E22*F22</f>
        <v>4</v>
      </c>
      <c r="H22" s="5" t="s">
        <v>120</v>
      </c>
      <c r="I22" s="4" t="s">
        <v>121</v>
      </c>
      <c r="J22" s="4" t="s">
        <v>122</v>
      </c>
    </row>
    <row r="23" customFormat="false" ht="35.05" hidden="false" customHeight="false" outlineLevel="0" collapsed="false">
      <c r="A23" s="4" t="s">
        <v>123</v>
      </c>
      <c r="B23" s="5" t="s">
        <v>124</v>
      </c>
      <c r="C23" s="4" t="s">
        <v>57</v>
      </c>
      <c r="D23" s="5" t="s">
        <v>125</v>
      </c>
      <c r="E23" s="4" t="n">
        <v>1</v>
      </c>
      <c r="F23" s="6" t="n">
        <v>138</v>
      </c>
      <c r="G23" s="6" t="n">
        <f aca="false">E23*F23</f>
        <v>138</v>
      </c>
      <c r="H23" s="5" t="s">
        <v>126</v>
      </c>
      <c r="I23" s="4" t="s">
        <v>127</v>
      </c>
      <c r="J23" s="4" t="s">
        <v>128</v>
      </c>
    </row>
    <row r="24" customFormat="false" ht="23.85" hidden="false" customHeight="false" outlineLevel="0" collapsed="false">
      <c r="A24" s="4" t="s">
        <v>129</v>
      </c>
      <c r="B24" s="5" t="s">
        <v>130</v>
      </c>
      <c r="C24" s="4" t="s">
        <v>131</v>
      </c>
      <c r="D24" s="5" t="s">
        <v>132</v>
      </c>
      <c r="E24" s="4" t="n">
        <v>1</v>
      </c>
      <c r="F24" s="6" t="n">
        <v>353</v>
      </c>
      <c r="G24" s="6" t="n">
        <f aca="false">E24*F24</f>
        <v>353</v>
      </c>
      <c r="H24" s="5" t="s">
        <v>133</v>
      </c>
      <c r="I24" s="4" t="s">
        <v>134</v>
      </c>
      <c r="J24" s="4" t="s">
        <v>135</v>
      </c>
    </row>
    <row r="25" customFormat="false" ht="15" hidden="false" customHeight="false" outlineLevel="0" collapsed="false">
      <c r="A25" s="4" t="s">
        <v>136</v>
      </c>
      <c r="B25" s="5" t="s">
        <v>137</v>
      </c>
      <c r="C25" s="4" t="s">
        <v>131</v>
      </c>
      <c r="D25" s="5" t="s">
        <v>132</v>
      </c>
      <c r="E25" s="4" t="n">
        <v>1</v>
      </c>
      <c r="F25" s="6" t="n">
        <v>254</v>
      </c>
      <c r="G25" s="6" t="n">
        <f aca="false">E25*F25</f>
        <v>254</v>
      </c>
      <c r="H25" s="5" t="s">
        <v>138</v>
      </c>
      <c r="I25" s="4" t="s">
        <v>134</v>
      </c>
      <c r="J25" s="4" t="s">
        <v>135</v>
      </c>
    </row>
    <row r="26" customFormat="false" ht="23.85" hidden="false" customHeight="false" outlineLevel="0" collapsed="false">
      <c r="A26" s="4" t="s">
        <v>139</v>
      </c>
      <c r="B26" s="5" t="s">
        <v>140</v>
      </c>
      <c r="C26" s="4" t="s">
        <v>131</v>
      </c>
      <c r="D26" s="5" t="s">
        <v>132</v>
      </c>
      <c r="E26" s="4" t="n">
        <v>1</v>
      </c>
      <c r="F26" s="6" t="n">
        <v>126</v>
      </c>
      <c r="G26" s="6" t="n">
        <f aca="false">E26*F26</f>
        <v>126</v>
      </c>
      <c r="H26" s="5" t="s">
        <v>141</v>
      </c>
      <c r="I26" s="4" t="s">
        <v>134</v>
      </c>
      <c r="J26" s="4" t="s">
        <v>135</v>
      </c>
    </row>
    <row r="27" customFormat="false" ht="15" hidden="false" customHeight="false" outlineLevel="0" collapsed="false">
      <c r="A27" s="4" t="s">
        <v>142</v>
      </c>
      <c r="B27" s="5" t="s">
        <v>143</v>
      </c>
      <c r="C27" s="4" t="s">
        <v>131</v>
      </c>
      <c r="D27" s="5" t="s">
        <v>132</v>
      </c>
      <c r="E27" s="4" t="n">
        <v>1</v>
      </c>
      <c r="F27" s="6" t="n">
        <v>134</v>
      </c>
      <c r="G27" s="6" t="n">
        <f aca="false">E27*F27</f>
        <v>134</v>
      </c>
      <c r="H27" s="5" t="s">
        <v>144</v>
      </c>
      <c r="I27" s="4" t="s">
        <v>134</v>
      </c>
      <c r="J27" s="4" t="s">
        <v>135</v>
      </c>
    </row>
    <row r="28" customFormat="false" ht="35.05" hidden="false" customHeight="false" outlineLevel="0" collapsed="false">
      <c r="A28" s="4" t="s">
        <v>145</v>
      </c>
      <c r="B28" s="5" t="s">
        <v>146</v>
      </c>
      <c r="C28" s="4" t="s">
        <v>14</v>
      </c>
      <c r="D28" s="5" t="s">
        <v>147</v>
      </c>
      <c r="E28" s="4" t="n">
        <v>1</v>
      </c>
      <c r="F28" s="6" t="n">
        <v>52</v>
      </c>
      <c r="G28" s="6" t="n">
        <f aca="false">E28*F28</f>
        <v>52</v>
      </c>
      <c r="H28" s="5" t="s">
        <v>148</v>
      </c>
      <c r="I28" s="4" t="s">
        <v>134</v>
      </c>
      <c r="J28" s="4" t="s">
        <v>135</v>
      </c>
    </row>
    <row r="29" customFormat="false" ht="23.85" hidden="false" customHeight="false" outlineLevel="0" collapsed="false">
      <c r="A29" s="4" t="s">
        <v>149</v>
      </c>
      <c r="B29" s="5" t="s">
        <v>150</v>
      </c>
      <c r="C29" s="4" t="s">
        <v>14</v>
      </c>
      <c r="D29" s="5" t="s">
        <v>132</v>
      </c>
      <c r="E29" s="4" t="n">
        <v>1</v>
      </c>
      <c r="F29" s="6" t="n">
        <v>8</v>
      </c>
      <c r="G29" s="6" t="n">
        <f aca="false">E29*F29</f>
        <v>8</v>
      </c>
      <c r="H29" s="5" t="s">
        <v>151</v>
      </c>
      <c r="I29" s="4" t="s">
        <v>134</v>
      </c>
      <c r="J29" s="4" t="s">
        <v>135</v>
      </c>
    </row>
    <row r="30" customFormat="false" ht="23.85" hidden="false" customHeight="false" outlineLevel="0" collapsed="false">
      <c r="A30" s="4" t="s">
        <v>152</v>
      </c>
      <c r="B30" s="5" t="s">
        <v>153</v>
      </c>
      <c r="C30" s="4" t="s">
        <v>57</v>
      </c>
      <c r="D30" s="5" t="s">
        <v>154</v>
      </c>
      <c r="E30" s="4" t="n">
        <v>1</v>
      </c>
      <c r="F30" s="6" t="n">
        <v>14</v>
      </c>
      <c r="G30" s="6" t="n">
        <f aca="false">E30*F30</f>
        <v>14</v>
      </c>
      <c r="H30" s="5" t="s">
        <v>155</v>
      </c>
      <c r="I30" s="4" t="s">
        <v>134</v>
      </c>
      <c r="J30" s="4" t="s">
        <v>135</v>
      </c>
    </row>
    <row r="31" customFormat="false" ht="23.85" hidden="false" customHeight="false" outlineLevel="0" collapsed="false">
      <c r="A31" s="4" t="s">
        <v>156</v>
      </c>
      <c r="B31" s="5" t="s">
        <v>157</v>
      </c>
      <c r="C31" s="4" t="s">
        <v>57</v>
      </c>
      <c r="D31" s="5" t="s">
        <v>132</v>
      </c>
      <c r="E31" s="4" t="n">
        <v>1</v>
      </c>
      <c r="F31" s="6" t="n">
        <v>0</v>
      </c>
      <c r="G31" s="6" t="n">
        <f aca="false">E31*F31</f>
        <v>0</v>
      </c>
      <c r="H31" s="5" t="s">
        <v>158</v>
      </c>
      <c r="I31" s="4" t="s">
        <v>134</v>
      </c>
      <c r="J31" s="4" t="s">
        <v>135</v>
      </c>
    </row>
    <row r="32" customFormat="false" ht="35.05" hidden="false" customHeight="false" outlineLevel="0" collapsed="false">
      <c r="A32" s="4" t="s">
        <v>135</v>
      </c>
      <c r="B32" s="5" t="s">
        <v>159</v>
      </c>
      <c r="C32" s="4" t="s">
        <v>160</v>
      </c>
      <c r="D32" s="5" t="s">
        <v>132</v>
      </c>
      <c r="E32" s="4" t="n">
        <v>1</v>
      </c>
      <c r="F32" s="6" t="n">
        <v>150</v>
      </c>
      <c r="G32" s="6" t="n">
        <f aca="false">E32*F32</f>
        <v>150</v>
      </c>
      <c r="H32" s="5" t="s">
        <v>161</v>
      </c>
      <c r="I32" s="4" t="s">
        <v>135</v>
      </c>
      <c r="J32" s="4" t="s">
        <v>135</v>
      </c>
    </row>
    <row r="33" customFormat="false" ht="15" hidden="false" customHeight="false" outlineLevel="0" collapsed="false">
      <c r="F33" s="7" t="s">
        <v>162</v>
      </c>
      <c r="G33" s="8" t="n">
        <f aca="false">SUM(G5:G32)</f>
        <v>3850</v>
      </c>
    </row>
    <row r="35" customFormat="false" ht="15" hidden="false" customHeight="false" outlineLevel="0" collapsed="false">
      <c r="A35" s="7" t="s">
        <v>163</v>
      </c>
    </row>
    <row r="36" customFormat="false" ht="23.85" hidden="false" customHeight="false" outlineLevel="0" collapsed="false">
      <c r="A36" s="4" t="s">
        <v>164</v>
      </c>
      <c r="B36" s="5" t="s">
        <v>165</v>
      </c>
      <c r="C36" s="4" t="s">
        <v>131</v>
      </c>
      <c r="D36" s="5" t="s">
        <v>132</v>
      </c>
      <c r="E36" s="4" t="n">
        <v>1</v>
      </c>
      <c r="F36" s="6" t="n">
        <v>900</v>
      </c>
      <c r="G36" s="6" t="n">
        <f aca="false">E36*F36</f>
        <v>900</v>
      </c>
      <c r="H36" s="5" t="s">
        <v>166</v>
      </c>
      <c r="I36" s="4" t="s">
        <v>134</v>
      </c>
      <c r="J36" s="4" t="s">
        <v>135</v>
      </c>
    </row>
    <row r="37" customFormat="false" ht="15" hidden="false" customHeight="false" outlineLevel="0" collapsed="false">
      <c r="F37" s="7" t="s">
        <v>167</v>
      </c>
      <c r="G37" s="8" t="n">
        <f aca="false">G33+G36</f>
        <v>4750</v>
      </c>
    </row>
    <row r="39" customFormat="false" ht="15" hidden="false" customHeight="false" outlineLevel="0" collapsed="false">
      <c r="A39" s="7" t="s">
        <v>168</v>
      </c>
    </row>
    <row r="40" customFormat="false" ht="15" hidden="false" customHeight="false" outlineLevel="0" collapsed="false">
      <c r="A40" s="9" t="s">
        <v>169</v>
      </c>
    </row>
    <row r="41" customFormat="false" ht="15" hidden="false" customHeight="false" outlineLevel="0" collapsed="false">
      <c r="A41" s="9" t="s">
        <v>170</v>
      </c>
    </row>
    <row r="42" customFormat="false" ht="15" hidden="false" customHeight="false" outlineLevel="0" collapsed="false">
      <c r="A42" s="9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6"/>
    <col collapsed="false" customWidth="true" hidden="false" outlineLevel="0" max="9" min="8" style="0" width="11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3" min="13" style="0" width="40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1" t="s">
        <v>172</v>
      </c>
    </row>
    <row r="2" customFormat="false" ht="15" hidden="false" customHeight="false" outlineLevel="0" collapsed="false">
      <c r="A2" s="2" t="s">
        <v>173</v>
      </c>
    </row>
    <row r="4" customFormat="false" ht="23.85" hidden="false" customHeight="false" outlineLevel="0" collapsed="false">
      <c r="A4" s="3" t="s">
        <v>4</v>
      </c>
      <c r="B4" s="3" t="s">
        <v>174</v>
      </c>
      <c r="C4" s="3" t="s">
        <v>175</v>
      </c>
      <c r="D4" s="3" t="s">
        <v>176</v>
      </c>
      <c r="E4" s="3" t="s">
        <v>177</v>
      </c>
      <c r="F4" s="3" t="s">
        <v>178</v>
      </c>
      <c r="G4" s="3" t="s">
        <v>6</v>
      </c>
      <c r="H4" s="3" t="s">
        <v>179</v>
      </c>
      <c r="I4" s="3" t="s">
        <v>180</v>
      </c>
      <c r="J4" s="3" t="s">
        <v>181</v>
      </c>
      <c r="K4" s="3" t="s">
        <v>182</v>
      </c>
      <c r="L4" s="3" t="s">
        <v>183</v>
      </c>
      <c r="M4" s="3" t="s">
        <v>184</v>
      </c>
      <c r="N4" s="3" t="s">
        <v>185</v>
      </c>
    </row>
    <row r="5" customFormat="false" ht="15" hidden="false" customHeight="false" outlineLevel="0" collapsed="false">
      <c r="A5" s="10" t="s">
        <v>186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customFormat="false" ht="35.05" hidden="false" customHeight="false" outlineLevel="0" collapsed="false">
      <c r="A6" s="4" t="s">
        <v>187</v>
      </c>
      <c r="B6" s="5" t="s">
        <v>19</v>
      </c>
      <c r="C6" s="5" t="s">
        <v>188</v>
      </c>
      <c r="D6" s="5" t="s">
        <v>189</v>
      </c>
      <c r="E6" s="5" t="s">
        <v>190</v>
      </c>
      <c r="F6" s="5" t="s">
        <v>191</v>
      </c>
      <c r="G6" s="4" t="n">
        <v>1</v>
      </c>
      <c r="H6" s="11" t="n">
        <v>10</v>
      </c>
      <c r="I6" s="11" t="n">
        <v>45</v>
      </c>
      <c r="J6" s="11" t="n">
        <f aca="false">G6*H6</f>
        <v>10</v>
      </c>
      <c r="K6" s="11" t="n">
        <f aca="false">G6*I6</f>
        <v>45</v>
      </c>
      <c r="L6" s="12" t="s">
        <v>192</v>
      </c>
      <c r="M6" s="13" t="s">
        <v>193</v>
      </c>
      <c r="N6" s="5" t="s">
        <v>194</v>
      </c>
    </row>
    <row r="7" customFormat="false" ht="35.05" hidden="false" customHeight="false" outlineLevel="0" collapsed="false">
      <c r="A7" s="4" t="s">
        <v>187</v>
      </c>
      <c r="B7" s="5" t="s">
        <v>12</v>
      </c>
      <c r="C7" s="5" t="s">
        <v>195</v>
      </c>
      <c r="D7" s="5" t="s">
        <v>196</v>
      </c>
      <c r="E7" s="5" t="s">
        <v>197</v>
      </c>
      <c r="F7" s="5" t="s">
        <v>191</v>
      </c>
      <c r="G7" s="4" t="n">
        <v>1</v>
      </c>
      <c r="H7" s="11" t="n">
        <v>6</v>
      </c>
      <c r="I7" s="11" t="n">
        <v>25</v>
      </c>
      <c r="J7" s="11" t="n">
        <f aca="false">G7*H7</f>
        <v>6</v>
      </c>
      <c r="K7" s="11" t="n">
        <f aca="false">G7*I7</f>
        <v>25</v>
      </c>
      <c r="L7" s="12" t="s">
        <v>192</v>
      </c>
      <c r="M7" s="13" t="s">
        <v>198</v>
      </c>
      <c r="N7" s="5" t="s">
        <v>199</v>
      </c>
    </row>
    <row r="8" customFormat="false" ht="23.85" hidden="false" customHeight="false" outlineLevel="0" collapsed="false">
      <c r="A8" s="4" t="s">
        <v>187</v>
      </c>
      <c r="B8" s="5" t="s">
        <v>200</v>
      </c>
      <c r="C8" s="5" t="s">
        <v>201</v>
      </c>
      <c r="D8" s="5" t="s">
        <v>202</v>
      </c>
      <c r="E8" s="5" t="s">
        <v>203</v>
      </c>
      <c r="F8" s="5" t="s">
        <v>204</v>
      </c>
      <c r="G8" s="4" t="n">
        <v>1</v>
      </c>
      <c r="H8" s="11" t="n">
        <v>3</v>
      </c>
      <c r="I8" s="11" t="n">
        <v>15</v>
      </c>
      <c r="J8" s="11" t="n">
        <f aca="false">G8*H8</f>
        <v>3</v>
      </c>
      <c r="K8" s="11" t="n">
        <f aca="false">G8*I8</f>
        <v>15</v>
      </c>
      <c r="L8" s="12" t="s">
        <v>192</v>
      </c>
      <c r="M8" s="13" t="s">
        <v>205</v>
      </c>
      <c r="N8" s="5" t="s">
        <v>206</v>
      </c>
    </row>
    <row r="9" customFormat="false" ht="35.05" hidden="false" customHeight="false" outlineLevel="0" collapsed="false">
      <c r="A9" s="4" t="s">
        <v>187</v>
      </c>
      <c r="B9" s="5" t="s">
        <v>25</v>
      </c>
      <c r="C9" s="5" t="s">
        <v>207</v>
      </c>
      <c r="D9" s="5" t="s">
        <v>208</v>
      </c>
      <c r="E9" s="5" t="s">
        <v>209</v>
      </c>
      <c r="F9" s="5" t="s">
        <v>191</v>
      </c>
      <c r="G9" s="4" t="n">
        <v>1</v>
      </c>
      <c r="H9" s="11" t="n">
        <v>5</v>
      </c>
      <c r="I9" s="11" t="n">
        <v>25</v>
      </c>
      <c r="J9" s="11" t="n">
        <f aca="false">G9*H9</f>
        <v>5</v>
      </c>
      <c r="K9" s="11" t="n">
        <f aca="false">G9*I9</f>
        <v>25</v>
      </c>
      <c r="L9" s="12" t="s">
        <v>192</v>
      </c>
      <c r="M9" s="13" t="s">
        <v>210</v>
      </c>
      <c r="N9" s="5" t="s">
        <v>211</v>
      </c>
    </row>
    <row r="10" customFormat="false" ht="23.85" hidden="false" customHeight="false" outlineLevel="0" collapsed="false">
      <c r="A10" s="4" t="s">
        <v>187</v>
      </c>
      <c r="B10" s="5" t="s">
        <v>37</v>
      </c>
      <c r="C10" s="5" t="s">
        <v>212</v>
      </c>
      <c r="D10" s="5" t="s">
        <v>213</v>
      </c>
      <c r="E10" s="5" t="s">
        <v>214</v>
      </c>
      <c r="F10" s="5" t="s">
        <v>191</v>
      </c>
      <c r="G10" s="4" t="n">
        <v>1</v>
      </c>
      <c r="H10" s="11" t="n">
        <v>21</v>
      </c>
      <c r="I10" s="11" t="n">
        <v>54</v>
      </c>
      <c r="J10" s="11" t="n">
        <f aca="false">G10*H10</f>
        <v>21</v>
      </c>
      <c r="K10" s="11" t="n">
        <f aca="false">G10*I10</f>
        <v>54</v>
      </c>
      <c r="L10" s="12" t="s">
        <v>192</v>
      </c>
      <c r="M10" s="13" t="s">
        <v>215</v>
      </c>
      <c r="N10" s="5" t="s">
        <v>216</v>
      </c>
    </row>
    <row r="11" customFormat="false" ht="23.85" hidden="false" customHeight="false" outlineLevel="0" collapsed="false">
      <c r="A11" s="4" t="s">
        <v>187</v>
      </c>
      <c r="B11" s="5" t="s">
        <v>86</v>
      </c>
      <c r="C11" s="5" t="s">
        <v>217</v>
      </c>
      <c r="D11" s="5" t="s">
        <v>218</v>
      </c>
      <c r="E11" s="5" t="s">
        <v>219</v>
      </c>
      <c r="F11" s="5" t="s">
        <v>191</v>
      </c>
      <c r="G11" s="4" t="n">
        <v>1</v>
      </c>
      <c r="H11" s="11" t="n">
        <v>2</v>
      </c>
      <c r="I11" s="11" t="n">
        <v>8</v>
      </c>
      <c r="J11" s="11" t="n">
        <f aca="false">G11*H11</f>
        <v>2</v>
      </c>
      <c r="K11" s="11" t="n">
        <f aca="false">G11*I11</f>
        <v>8</v>
      </c>
      <c r="L11" s="12" t="s">
        <v>192</v>
      </c>
      <c r="M11" s="13" t="s">
        <v>210</v>
      </c>
      <c r="N11" s="5" t="s">
        <v>220</v>
      </c>
    </row>
    <row r="12" customFormat="false" ht="35.05" hidden="false" customHeight="false" outlineLevel="0" collapsed="false">
      <c r="A12" s="4" t="s">
        <v>187</v>
      </c>
      <c r="B12" s="5" t="s">
        <v>221</v>
      </c>
      <c r="C12" s="5" t="s">
        <v>222</v>
      </c>
      <c r="D12" s="5" t="s">
        <v>223</v>
      </c>
      <c r="E12" s="5" t="s">
        <v>224</v>
      </c>
      <c r="F12" s="5" t="s">
        <v>225</v>
      </c>
      <c r="G12" s="4" t="n">
        <v>1</v>
      </c>
      <c r="H12" s="11" t="n">
        <v>10</v>
      </c>
      <c r="I12" s="11" t="n">
        <v>50</v>
      </c>
      <c r="J12" s="11" t="n">
        <f aca="false">G12*H12</f>
        <v>10</v>
      </c>
      <c r="K12" s="11" t="n">
        <f aca="false">G12*I12</f>
        <v>50</v>
      </c>
      <c r="L12" s="14" t="s">
        <v>226</v>
      </c>
      <c r="M12" s="13" t="s">
        <v>227</v>
      </c>
      <c r="N12" s="5" t="s">
        <v>228</v>
      </c>
    </row>
    <row r="13" customFormat="false" ht="23.85" hidden="false" customHeight="false" outlineLevel="0" collapsed="false">
      <c r="A13" s="4" t="s">
        <v>187</v>
      </c>
      <c r="B13" s="5" t="s">
        <v>31</v>
      </c>
      <c r="C13" s="5" t="s">
        <v>229</v>
      </c>
      <c r="D13" s="5" t="s">
        <v>230</v>
      </c>
      <c r="E13" s="5" t="s">
        <v>231</v>
      </c>
      <c r="F13" s="5" t="s">
        <v>232</v>
      </c>
      <c r="G13" s="4" t="n">
        <v>1</v>
      </c>
      <c r="H13" s="11" t="n">
        <v>5</v>
      </c>
      <c r="I13" s="11" t="n">
        <v>16</v>
      </c>
      <c r="J13" s="11" t="n">
        <f aca="false">G13*H13</f>
        <v>5</v>
      </c>
      <c r="K13" s="11" t="n">
        <f aca="false">G13*I13</f>
        <v>16</v>
      </c>
      <c r="L13" s="14" t="s">
        <v>226</v>
      </c>
      <c r="M13" s="13" t="s">
        <v>233</v>
      </c>
      <c r="N13" s="5" t="s">
        <v>234</v>
      </c>
    </row>
    <row r="14" customFormat="false" ht="23.85" hidden="false" customHeight="false" outlineLevel="0" collapsed="false">
      <c r="A14" s="4" t="s">
        <v>187</v>
      </c>
      <c r="B14" s="5" t="s">
        <v>111</v>
      </c>
      <c r="C14" s="5" t="s">
        <v>235</v>
      </c>
      <c r="D14" s="5" t="s">
        <v>236</v>
      </c>
      <c r="E14" s="5" t="s">
        <v>197</v>
      </c>
      <c r="F14" s="5" t="s">
        <v>191</v>
      </c>
      <c r="G14" s="4" t="n">
        <v>1</v>
      </c>
      <c r="H14" s="11" t="n">
        <v>3</v>
      </c>
      <c r="I14" s="11" t="n">
        <v>15</v>
      </c>
      <c r="J14" s="11" t="n">
        <f aca="false">G14*H14</f>
        <v>3</v>
      </c>
      <c r="K14" s="11" t="n">
        <f aca="false">G14*I14</f>
        <v>15</v>
      </c>
      <c r="L14" s="12" t="s">
        <v>192</v>
      </c>
      <c r="M14" s="13" t="s">
        <v>193</v>
      </c>
      <c r="N14" s="5" t="s">
        <v>237</v>
      </c>
    </row>
    <row r="15" customFormat="false" ht="23.85" hidden="false" customHeight="false" outlineLevel="0" collapsed="false">
      <c r="A15" s="4" t="s">
        <v>187</v>
      </c>
      <c r="B15" s="5" t="s">
        <v>99</v>
      </c>
      <c r="C15" s="5" t="s">
        <v>238</v>
      </c>
      <c r="D15" s="5" t="s">
        <v>239</v>
      </c>
      <c r="E15" s="5" t="s">
        <v>240</v>
      </c>
      <c r="F15" s="5" t="s">
        <v>241</v>
      </c>
      <c r="G15" s="4" t="n">
        <v>1</v>
      </c>
      <c r="H15" s="11" t="n">
        <v>3</v>
      </c>
      <c r="I15" s="11" t="n">
        <v>10</v>
      </c>
      <c r="J15" s="11" t="n">
        <f aca="false">G15*H15</f>
        <v>3</v>
      </c>
      <c r="K15" s="11" t="n">
        <f aca="false">G15*I15</f>
        <v>10</v>
      </c>
      <c r="L15" s="12" t="s">
        <v>192</v>
      </c>
      <c r="M15" s="13" t="s">
        <v>242</v>
      </c>
      <c r="N15" s="5" t="s">
        <v>243</v>
      </c>
    </row>
    <row r="16" customFormat="false" ht="15" hidden="false" customHeight="false" outlineLevel="0" collapsed="false">
      <c r="A16" s="10" t="s">
        <v>244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customFormat="false" ht="46.25" hidden="false" customHeight="false" outlineLevel="0" collapsed="false">
      <c r="A17" s="4" t="s">
        <v>245</v>
      </c>
      <c r="B17" s="5" t="s">
        <v>246</v>
      </c>
      <c r="C17" s="5" t="s">
        <v>247</v>
      </c>
      <c r="D17" s="5" t="s">
        <v>248</v>
      </c>
      <c r="E17" s="5" t="s">
        <v>249</v>
      </c>
      <c r="F17" s="5" t="s">
        <v>250</v>
      </c>
      <c r="G17" s="4" t="n">
        <v>1</v>
      </c>
      <c r="H17" s="11" t="n">
        <v>30</v>
      </c>
      <c r="I17" s="11" t="n">
        <v>70</v>
      </c>
      <c r="J17" s="11" t="n">
        <f aca="false">G17*H17</f>
        <v>30</v>
      </c>
      <c r="K17" s="11" t="n">
        <f aca="false">G17*I17</f>
        <v>70</v>
      </c>
      <c r="L17" s="12" t="s">
        <v>192</v>
      </c>
      <c r="M17" s="13" t="s">
        <v>251</v>
      </c>
      <c r="N17" s="5" t="s">
        <v>252</v>
      </c>
    </row>
    <row r="18" customFormat="false" ht="23.85" hidden="false" customHeight="false" outlineLevel="0" collapsed="false">
      <c r="A18" s="4" t="s">
        <v>245</v>
      </c>
      <c r="B18" s="5" t="s">
        <v>31</v>
      </c>
      <c r="C18" s="5" t="s">
        <v>253</v>
      </c>
      <c r="D18" s="5" t="s">
        <v>254</v>
      </c>
      <c r="E18" s="5" t="s">
        <v>255</v>
      </c>
      <c r="F18" s="5" t="s">
        <v>135</v>
      </c>
      <c r="G18" s="4" t="n">
        <v>1</v>
      </c>
      <c r="H18" s="11" t="n">
        <v>0</v>
      </c>
      <c r="I18" s="11" t="n">
        <v>15</v>
      </c>
      <c r="J18" s="11" t="n">
        <f aca="false">G18*H18</f>
        <v>0</v>
      </c>
      <c r="K18" s="11" t="n">
        <f aca="false">G18*I18</f>
        <v>15</v>
      </c>
      <c r="L18" s="12" t="s">
        <v>192</v>
      </c>
      <c r="M18" s="5" t="s">
        <v>135</v>
      </c>
      <c r="N18" s="5" t="s">
        <v>256</v>
      </c>
    </row>
    <row r="19" customFormat="false" ht="23.85" hidden="false" customHeight="false" outlineLevel="0" collapsed="false">
      <c r="A19" s="4" t="s">
        <v>245</v>
      </c>
      <c r="B19" s="5" t="s">
        <v>37</v>
      </c>
      <c r="C19" s="5" t="s">
        <v>257</v>
      </c>
      <c r="D19" s="5" t="s">
        <v>258</v>
      </c>
      <c r="E19" s="5" t="s">
        <v>259</v>
      </c>
      <c r="F19" s="5" t="s">
        <v>260</v>
      </c>
      <c r="G19" s="4" t="n">
        <v>1</v>
      </c>
      <c r="H19" s="11" t="n">
        <v>80</v>
      </c>
      <c r="I19" s="11" t="n">
        <v>250</v>
      </c>
      <c r="J19" s="11" t="n">
        <f aca="false">G19*H19</f>
        <v>80</v>
      </c>
      <c r="K19" s="11" t="n">
        <f aca="false">G19*I19</f>
        <v>250</v>
      </c>
      <c r="L19" s="12" t="s">
        <v>192</v>
      </c>
      <c r="M19" s="13" t="s">
        <v>261</v>
      </c>
      <c r="N19" s="5" t="s">
        <v>262</v>
      </c>
    </row>
    <row r="20" customFormat="false" ht="23.85" hidden="false" customHeight="false" outlineLevel="0" collapsed="false">
      <c r="A20" s="4" t="s">
        <v>245</v>
      </c>
      <c r="B20" s="5" t="s">
        <v>263</v>
      </c>
      <c r="C20" s="5" t="s">
        <v>264</v>
      </c>
      <c r="D20" s="5" t="s">
        <v>265</v>
      </c>
      <c r="E20" s="5" t="s">
        <v>266</v>
      </c>
      <c r="F20" s="5" t="s">
        <v>267</v>
      </c>
      <c r="G20" s="4" t="n">
        <v>1</v>
      </c>
      <c r="H20" s="11" t="n">
        <v>20</v>
      </c>
      <c r="I20" s="11" t="n">
        <v>60</v>
      </c>
      <c r="J20" s="11" t="n">
        <f aca="false">G20*H20</f>
        <v>20</v>
      </c>
      <c r="K20" s="11" t="n">
        <f aca="false">G20*I20</f>
        <v>60</v>
      </c>
      <c r="L20" s="12" t="s">
        <v>192</v>
      </c>
      <c r="M20" s="5" t="s">
        <v>135</v>
      </c>
      <c r="N20" s="5" t="s">
        <v>268</v>
      </c>
    </row>
    <row r="21" customFormat="false" ht="23.85" hidden="false" customHeight="false" outlineLevel="0" collapsed="false">
      <c r="A21" s="4" t="s">
        <v>245</v>
      </c>
      <c r="B21" s="5" t="s">
        <v>269</v>
      </c>
      <c r="C21" s="5" t="s">
        <v>270</v>
      </c>
      <c r="D21" s="5" t="s">
        <v>271</v>
      </c>
      <c r="E21" s="5" t="s">
        <v>272</v>
      </c>
      <c r="F21" s="5" t="s">
        <v>273</v>
      </c>
      <c r="G21" s="4" t="n">
        <v>1</v>
      </c>
      <c r="H21" s="11" t="n">
        <v>20</v>
      </c>
      <c r="I21" s="11" t="n">
        <v>50</v>
      </c>
      <c r="J21" s="11" t="n">
        <f aca="false">G21*H21</f>
        <v>20</v>
      </c>
      <c r="K21" s="11" t="n">
        <f aca="false">G21*I21</f>
        <v>50</v>
      </c>
      <c r="L21" s="12" t="s">
        <v>192</v>
      </c>
      <c r="M21" s="13" t="s">
        <v>274</v>
      </c>
      <c r="N21" s="5" t="s">
        <v>275</v>
      </c>
    </row>
    <row r="22" customFormat="false" ht="23.85" hidden="false" customHeight="false" outlineLevel="0" collapsed="false">
      <c r="A22" s="4" t="s">
        <v>245</v>
      </c>
      <c r="B22" s="5" t="s">
        <v>276</v>
      </c>
      <c r="C22" s="5" t="s">
        <v>277</v>
      </c>
      <c r="D22" s="5" t="s">
        <v>278</v>
      </c>
      <c r="E22" s="5" t="s">
        <v>279</v>
      </c>
      <c r="F22" s="5" t="s">
        <v>273</v>
      </c>
      <c r="G22" s="4" t="n">
        <v>2</v>
      </c>
      <c r="H22" s="11" t="n">
        <v>5</v>
      </c>
      <c r="I22" s="11" t="n">
        <v>20</v>
      </c>
      <c r="J22" s="11" t="n">
        <f aca="false">G22*H22</f>
        <v>10</v>
      </c>
      <c r="K22" s="11" t="n">
        <f aca="false">G22*I22</f>
        <v>40</v>
      </c>
      <c r="L22" s="12" t="s">
        <v>192</v>
      </c>
      <c r="M22" s="13" t="s">
        <v>280</v>
      </c>
      <c r="N22" s="5" t="s">
        <v>281</v>
      </c>
    </row>
    <row r="23" customFormat="false" ht="23.85" hidden="false" customHeight="false" outlineLevel="0" collapsed="false">
      <c r="A23" s="4" t="s">
        <v>245</v>
      </c>
      <c r="B23" s="5" t="s">
        <v>86</v>
      </c>
      <c r="C23" s="5" t="s">
        <v>282</v>
      </c>
      <c r="D23" s="5" t="s">
        <v>283</v>
      </c>
      <c r="E23" s="5" t="s">
        <v>284</v>
      </c>
      <c r="F23" s="5" t="s">
        <v>135</v>
      </c>
      <c r="G23" s="4" t="n">
        <v>1</v>
      </c>
      <c r="H23" s="11" t="n">
        <v>10</v>
      </c>
      <c r="I23" s="11" t="n">
        <v>25</v>
      </c>
      <c r="J23" s="11" t="n">
        <f aca="false">G23*H23</f>
        <v>10</v>
      </c>
      <c r="K23" s="11" t="n">
        <f aca="false">G23*I23</f>
        <v>25</v>
      </c>
      <c r="L23" s="12" t="s">
        <v>192</v>
      </c>
      <c r="M23" s="5" t="s">
        <v>135</v>
      </c>
      <c r="N23" s="5" t="s">
        <v>285</v>
      </c>
    </row>
    <row r="24" customFormat="false" ht="35.05" hidden="false" customHeight="false" outlineLevel="0" collapsed="false">
      <c r="A24" s="4" t="s">
        <v>245</v>
      </c>
      <c r="B24" s="5" t="s">
        <v>286</v>
      </c>
      <c r="C24" s="5" t="s">
        <v>287</v>
      </c>
      <c r="D24" s="5" t="s">
        <v>288</v>
      </c>
      <c r="E24" s="5" t="s">
        <v>289</v>
      </c>
      <c r="F24" s="5" t="s">
        <v>290</v>
      </c>
      <c r="G24" s="4" t="n">
        <v>1</v>
      </c>
      <c r="H24" s="11" t="n">
        <v>45</v>
      </c>
      <c r="I24" s="11" t="n">
        <v>113</v>
      </c>
      <c r="J24" s="11" t="n">
        <f aca="false">G24*H24</f>
        <v>45</v>
      </c>
      <c r="K24" s="11" t="n">
        <f aca="false">G24*I24</f>
        <v>113</v>
      </c>
      <c r="L24" s="15" t="s">
        <v>291</v>
      </c>
      <c r="M24" s="13" t="s">
        <v>292</v>
      </c>
      <c r="N24" s="5" t="s">
        <v>293</v>
      </c>
    </row>
    <row r="25" customFormat="false" ht="15" hidden="false" customHeight="false" outlineLevel="0" collapsed="false">
      <c r="A25" s="10" t="s">
        <v>294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customFormat="false" ht="23.85" hidden="false" customHeight="false" outlineLevel="0" collapsed="false">
      <c r="A26" s="4" t="s">
        <v>295</v>
      </c>
      <c r="B26" s="5" t="s">
        <v>296</v>
      </c>
      <c r="C26" s="5" t="s">
        <v>297</v>
      </c>
      <c r="D26" s="5" t="s">
        <v>298</v>
      </c>
      <c r="E26" s="5" t="s">
        <v>299</v>
      </c>
      <c r="F26" s="5" t="s">
        <v>300</v>
      </c>
      <c r="G26" s="4" t="n">
        <v>1</v>
      </c>
      <c r="H26" s="11" t="n">
        <v>90</v>
      </c>
      <c r="I26" s="11" t="n">
        <v>170</v>
      </c>
      <c r="J26" s="11" t="n">
        <f aca="false">G26*H26</f>
        <v>90</v>
      </c>
      <c r="K26" s="11" t="n">
        <f aca="false">G26*I26</f>
        <v>170</v>
      </c>
      <c r="L26" s="14" t="s">
        <v>226</v>
      </c>
      <c r="M26" s="13" t="s">
        <v>301</v>
      </c>
      <c r="N26" s="5" t="s">
        <v>302</v>
      </c>
    </row>
    <row r="27" customFormat="false" ht="23.85" hidden="false" customHeight="false" outlineLevel="0" collapsed="false">
      <c r="A27" s="4" t="s">
        <v>295</v>
      </c>
      <c r="B27" s="5" t="s">
        <v>129</v>
      </c>
      <c r="C27" s="5" t="s">
        <v>303</v>
      </c>
      <c r="D27" s="5" t="s">
        <v>304</v>
      </c>
      <c r="E27" s="5" t="s">
        <v>305</v>
      </c>
      <c r="F27" s="5" t="s">
        <v>306</v>
      </c>
      <c r="G27" s="4" t="n">
        <v>1</v>
      </c>
      <c r="H27" s="11" t="n">
        <v>15</v>
      </c>
      <c r="I27" s="11" t="n">
        <v>50</v>
      </c>
      <c r="J27" s="11" t="n">
        <f aca="false">G27*H27</f>
        <v>15</v>
      </c>
      <c r="K27" s="11" t="n">
        <f aca="false">G27*I27</f>
        <v>50</v>
      </c>
      <c r="L27" s="14" t="s">
        <v>226</v>
      </c>
      <c r="M27" s="13" t="s">
        <v>307</v>
      </c>
      <c r="N27" s="5" t="s">
        <v>308</v>
      </c>
    </row>
    <row r="28" customFormat="false" ht="23.85" hidden="false" customHeight="false" outlineLevel="0" collapsed="false">
      <c r="A28" s="4" t="s">
        <v>295</v>
      </c>
      <c r="B28" s="5" t="s">
        <v>309</v>
      </c>
      <c r="C28" s="5" t="s">
        <v>310</v>
      </c>
      <c r="D28" s="5" t="s">
        <v>311</v>
      </c>
      <c r="E28" s="5" t="s">
        <v>312</v>
      </c>
      <c r="F28" s="5" t="s">
        <v>313</v>
      </c>
      <c r="G28" s="4" t="n">
        <v>1</v>
      </c>
      <c r="H28" s="11" t="n">
        <v>31</v>
      </c>
      <c r="I28" s="11" t="n">
        <v>108</v>
      </c>
      <c r="J28" s="11" t="n">
        <f aca="false">G28*H28</f>
        <v>31</v>
      </c>
      <c r="K28" s="11" t="n">
        <f aca="false">G28*I28</f>
        <v>108</v>
      </c>
      <c r="L28" s="14" t="s">
        <v>226</v>
      </c>
      <c r="M28" s="13" t="s">
        <v>314</v>
      </c>
      <c r="N28" s="5" t="s">
        <v>315</v>
      </c>
    </row>
    <row r="29" customFormat="false" ht="23.85" hidden="false" customHeight="false" outlineLevel="0" collapsed="false">
      <c r="A29" s="4" t="s">
        <v>295</v>
      </c>
      <c r="B29" s="5" t="s">
        <v>164</v>
      </c>
      <c r="C29" s="5" t="s">
        <v>316</v>
      </c>
      <c r="D29" s="5" t="s">
        <v>317</v>
      </c>
      <c r="E29" s="5" t="s">
        <v>318</v>
      </c>
      <c r="F29" s="5" t="s">
        <v>306</v>
      </c>
      <c r="G29" s="4" t="n">
        <v>1</v>
      </c>
      <c r="H29" s="11" t="n">
        <v>125</v>
      </c>
      <c r="I29" s="11" t="n">
        <v>160</v>
      </c>
      <c r="J29" s="11" t="n">
        <f aca="false">G29*H29</f>
        <v>125</v>
      </c>
      <c r="K29" s="11" t="n">
        <f aca="false">G29*I29</f>
        <v>160</v>
      </c>
      <c r="L29" s="14" t="s">
        <v>226</v>
      </c>
      <c r="M29" s="13" t="s">
        <v>319</v>
      </c>
      <c r="N29" s="5" t="s">
        <v>320</v>
      </c>
    </row>
    <row r="30" customFormat="false" ht="35.05" hidden="false" customHeight="false" outlineLevel="0" collapsed="false">
      <c r="A30" s="4" t="s">
        <v>295</v>
      </c>
      <c r="B30" s="5" t="s">
        <v>135</v>
      </c>
      <c r="C30" s="5" t="s">
        <v>321</v>
      </c>
      <c r="D30" s="5" t="s">
        <v>322</v>
      </c>
      <c r="E30" s="5" t="s">
        <v>323</v>
      </c>
      <c r="F30" s="5" t="s">
        <v>306</v>
      </c>
      <c r="G30" s="4" t="n">
        <v>1</v>
      </c>
      <c r="H30" s="11" t="n">
        <v>15</v>
      </c>
      <c r="I30" s="11" t="n">
        <v>40</v>
      </c>
      <c r="J30" s="11" t="n">
        <f aca="false">G30*H30</f>
        <v>15</v>
      </c>
      <c r="K30" s="11" t="n">
        <f aca="false">G30*I30</f>
        <v>40</v>
      </c>
      <c r="L30" s="14" t="s">
        <v>226</v>
      </c>
      <c r="M30" s="13" t="s">
        <v>324</v>
      </c>
      <c r="N30" s="5" t="s">
        <v>325</v>
      </c>
    </row>
    <row r="31" customFormat="false" ht="35.05" hidden="false" customHeight="false" outlineLevel="0" collapsed="false">
      <c r="A31" s="4" t="s">
        <v>295</v>
      </c>
      <c r="B31" s="5" t="s">
        <v>135</v>
      </c>
      <c r="C31" s="5" t="s">
        <v>326</v>
      </c>
      <c r="D31" s="5" t="s">
        <v>327</v>
      </c>
      <c r="E31" s="5" t="s">
        <v>328</v>
      </c>
      <c r="F31" s="5" t="s">
        <v>135</v>
      </c>
      <c r="G31" s="4" t="n">
        <v>1</v>
      </c>
      <c r="H31" s="11" t="n">
        <v>35</v>
      </c>
      <c r="I31" s="11" t="n">
        <v>70</v>
      </c>
      <c r="J31" s="11" t="n">
        <f aca="false">G31*H31</f>
        <v>35</v>
      </c>
      <c r="K31" s="11" t="n">
        <f aca="false">G31*I31</f>
        <v>70</v>
      </c>
      <c r="L31" s="12" t="s">
        <v>192</v>
      </c>
      <c r="M31" s="13" t="s">
        <v>329</v>
      </c>
      <c r="N31" s="5" t="s">
        <v>330</v>
      </c>
    </row>
    <row r="32" customFormat="false" ht="15" hidden="false" customHeight="false" outlineLevel="0" collapsed="false">
      <c r="A32" s="10" t="s">
        <v>331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customFormat="false" ht="23.85" hidden="false" customHeight="false" outlineLevel="0" collapsed="false">
      <c r="A33" s="4" t="s">
        <v>332</v>
      </c>
      <c r="B33" s="5" t="s">
        <v>145</v>
      </c>
      <c r="C33" s="5" t="s">
        <v>333</v>
      </c>
      <c r="D33" s="5" t="s">
        <v>304</v>
      </c>
      <c r="E33" s="5" t="s">
        <v>334</v>
      </c>
      <c r="F33" s="5" t="s">
        <v>335</v>
      </c>
      <c r="G33" s="4" t="n">
        <v>1</v>
      </c>
      <c r="H33" s="11" t="n">
        <v>5</v>
      </c>
      <c r="I33" s="11" t="n">
        <v>60</v>
      </c>
      <c r="J33" s="11" t="n">
        <f aca="false">G33*H33</f>
        <v>5</v>
      </c>
      <c r="K33" s="11" t="n">
        <f aca="false">G33*I33</f>
        <v>60</v>
      </c>
      <c r="L33" s="14" t="s">
        <v>226</v>
      </c>
      <c r="M33" s="13" t="s">
        <v>336</v>
      </c>
      <c r="N33" s="5" t="s">
        <v>337</v>
      </c>
    </row>
    <row r="34" customFormat="false" ht="15" hidden="false" customHeight="false" outlineLevel="0" collapsed="false">
      <c r="A34" s="4" t="s">
        <v>332</v>
      </c>
      <c r="B34" s="5" t="s">
        <v>145</v>
      </c>
      <c r="C34" s="5" t="s">
        <v>338</v>
      </c>
      <c r="D34" s="5" t="s">
        <v>339</v>
      </c>
      <c r="E34" s="5" t="s">
        <v>340</v>
      </c>
      <c r="F34" s="5" t="s">
        <v>300</v>
      </c>
      <c r="G34" s="4" t="n">
        <v>2</v>
      </c>
      <c r="H34" s="11" t="n">
        <v>1.1</v>
      </c>
      <c r="I34" s="11" t="n">
        <v>2.7</v>
      </c>
      <c r="J34" s="11" t="n">
        <f aca="false">G34*H34</f>
        <v>2.2</v>
      </c>
      <c r="K34" s="11" t="n">
        <f aca="false">G34*I34</f>
        <v>5.4</v>
      </c>
      <c r="L34" s="14" t="s">
        <v>226</v>
      </c>
      <c r="M34" s="13" t="s">
        <v>341</v>
      </c>
      <c r="N34" s="5" t="s">
        <v>342</v>
      </c>
    </row>
    <row r="35" customFormat="false" ht="23.85" hidden="false" customHeight="false" outlineLevel="0" collapsed="false">
      <c r="A35" s="4" t="s">
        <v>332</v>
      </c>
      <c r="B35" s="5" t="s">
        <v>149</v>
      </c>
      <c r="C35" s="5" t="s">
        <v>343</v>
      </c>
      <c r="D35" s="5" t="s">
        <v>317</v>
      </c>
      <c r="E35" s="5" t="s">
        <v>344</v>
      </c>
      <c r="F35" s="5" t="s">
        <v>345</v>
      </c>
      <c r="G35" s="4" t="n">
        <v>1</v>
      </c>
      <c r="H35" s="11" t="n">
        <v>5</v>
      </c>
      <c r="I35" s="11" t="n">
        <v>20</v>
      </c>
      <c r="J35" s="11" t="n">
        <f aca="false">G35*H35</f>
        <v>5</v>
      </c>
      <c r="K35" s="11" t="n">
        <f aca="false">G35*I35</f>
        <v>20</v>
      </c>
      <c r="L35" s="14" t="s">
        <v>226</v>
      </c>
      <c r="M35" s="13" t="s">
        <v>346</v>
      </c>
      <c r="N35" s="5" t="s">
        <v>347</v>
      </c>
    </row>
    <row r="36" customFormat="false" ht="23.85" hidden="false" customHeight="false" outlineLevel="0" collapsed="false">
      <c r="A36" s="4" t="s">
        <v>332</v>
      </c>
      <c r="B36" s="5" t="s">
        <v>135</v>
      </c>
      <c r="C36" s="5" t="s">
        <v>348</v>
      </c>
      <c r="D36" s="5" t="s">
        <v>322</v>
      </c>
      <c r="E36" s="5" t="s">
        <v>349</v>
      </c>
      <c r="F36" s="5" t="s">
        <v>350</v>
      </c>
      <c r="G36" s="4" t="n">
        <v>1</v>
      </c>
      <c r="H36" s="11" t="n">
        <v>8</v>
      </c>
      <c r="I36" s="11" t="n">
        <v>20</v>
      </c>
      <c r="J36" s="11" t="n">
        <f aca="false">G36*H36</f>
        <v>8</v>
      </c>
      <c r="K36" s="11" t="n">
        <f aca="false">G36*I36</f>
        <v>20</v>
      </c>
      <c r="L36" s="15" t="s">
        <v>291</v>
      </c>
      <c r="M36" s="13" t="s">
        <v>351</v>
      </c>
      <c r="N36" s="5" t="s">
        <v>352</v>
      </c>
    </row>
    <row r="37" customFormat="false" ht="23.85" hidden="false" customHeight="false" outlineLevel="0" collapsed="false">
      <c r="A37" s="4" t="s">
        <v>332</v>
      </c>
      <c r="B37" s="5" t="s">
        <v>152</v>
      </c>
      <c r="C37" s="5" t="s">
        <v>353</v>
      </c>
      <c r="D37" s="5" t="s">
        <v>304</v>
      </c>
      <c r="E37" s="5" t="s">
        <v>318</v>
      </c>
      <c r="F37" s="5" t="s">
        <v>306</v>
      </c>
      <c r="G37" s="4" t="n">
        <v>1</v>
      </c>
      <c r="H37" s="11" t="n">
        <v>42.29</v>
      </c>
      <c r="I37" s="11" t="n">
        <v>48</v>
      </c>
      <c r="J37" s="11" t="n">
        <f aca="false">G37*H37</f>
        <v>42.29</v>
      </c>
      <c r="K37" s="11" t="n">
        <f aca="false">G37*I37</f>
        <v>48</v>
      </c>
      <c r="L37" s="15" t="s">
        <v>291</v>
      </c>
      <c r="M37" s="13" t="s">
        <v>354</v>
      </c>
      <c r="N37" s="5" t="s">
        <v>355</v>
      </c>
    </row>
    <row r="38" customFormat="false" ht="23.85" hidden="false" customHeight="false" outlineLevel="0" collapsed="false">
      <c r="A38" s="4" t="s">
        <v>332</v>
      </c>
      <c r="B38" s="5" t="s">
        <v>356</v>
      </c>
      <c r="C38" s="5" t="s">
        <v>357</v>
      </c>
      <c r="D38" s="5" t="s">
        <v>317</v>
      </c>
      <c r="E38" s="5" t="s">
        <v>358</v>
      </c>
      <c r="F38" s="5" t="s">
        <v>350</v>
      </c>
      <c r="G38" s="4" t="n">
        <v>1</v>
      </c>
      <c r="H38" s="11" t="n">
        <v>2.7</v>
      </c>
      <c r="I38" s="11" t="n">
        <v>5</v>
      </c>
      <c r="J38" s="11" t="n">
        <f aca="false">G38*H38</f>
        <v>2.7</v>
      </c>
      <c r="K38" s="11" t="n">
        <f aca="false">G38*I38</f>
        <v>5</v>
      </c>
      <c r="L38" s="15" t="s">
        <v>291</v>
      </c>
      <c r="M38" s="13" t="s">
        <v>359</v>
      </c>
      <c r="N38" s="5" t="s">
        <v>360</v>
      </c>
    </row>
    <row r="39" customFormat="false" ht="23.85" hidden="false" customHeight="false" outlineLevel="0" collapsed="false">
      <c r="A39" s="4" t="s">
        <v>332</v>
      </c>
      <c r="B39" s="5" t="s">
        <v>156</v>
      </c>
      <c r="C39" s="5" t="s">
        <v>361</v>
      </c>
      <c r="D39" s="5" t="s">
        <v>317</v>
      </c>
      <c r="E39" s="5" t="s">
        <v>362</v>
      </c>
      <c r="F39" s="5" t="s">
        <v>363</v>
      </c>
      <c r="G39" s="4" t="n">
        <v>1</v>
      </c>
      <c r="H39" s="11" t="n">
        <v>7</v>
      </c>
      <c r="I39" s="11" t="n">
        <v>28</v>
      </c>
      <c r="J39" s="11" t="n">
        <f aca="false">G39*H39</f>
        <v>7</v>
      </c>
      <c r="K39" s="11" t="n">
        <f aca="false">G39*I39</f>
        <v>28</v>
      </c>
      <c r="L39" s="12" t="s">
        <v>192</v>
      </c>
      <c r="M39" s="13" t="s">
        <v>364</v>
      </c>
      <c r="N39" s="5" t="s">
        <v>365</v>
      </c>
    </row>
    <row r="40" customFormat="false" ht="35.05" hidden="false" customHeight="false" outlineLevel="0" collapsed="false">
      <c r="A40" s="4" t="s">
        <v>332</v>
      </c>
      <c r="B40" s="5" t="s">
        <v>123</v>
      </c>
      <c r="C40" s="5" t="s">
        <v>366</v>
      </c>
      <c r="D40" s="5" t="s">
        <v>367</v>
      </c>
      <c r="E40" s="5" t="s">
        <v>368</v>
      </c>
      <c r="F40" s="5" t="s">
        <v>369</v>
      </c>
      <c r="G40" s="4" t="n">
        <v>1</v>
      </c>
      <c r="H40" s="11" t="n">
        <v>6</v>
      </c>
      <c r="I40" s="11" t="n">
        <v>15</v>
      </c>
      <c r="J40" s="11" t="n">
        <f aca="false">G40*H40</f>
        <v>6</v>
      </c>
      <c r="K40" s="11" t="n">
        <f aca="false">G40*I40</f>
        <v>15</v>
      </c>
      <c r="L40" s="14" t="s">
        <v>226</v>
      </c>
      <c r="M40" s="13" t="s">
        <v>370</v>
      </c>
      <c r="N40" s="5" t="s">
        <v>371</v>
      </c>
    </row>
    <row r="41" customFormat="false" ht="15" hidden="false" customHeight="false" outlineLevel="0" collapsed="false">
      <c r="A41" s="10" t="s">
        <v>372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customFormat="false" ht="23.85" hidden="false" customHeight="false" outlineLevel="0" collapsed="false">
      <c r="A42" s="4" t="s">
        <v>373</v>
      </c>
      <c r="B42" s="5" t="s">
        <v>55</v>
      </c>
      <c r="C42" s="5" t="s">
        <v>374</v>
      </c>
      <c r="D42" s="5" t="s">
        <v>304</v>
      </c>
      <c r="E42" s="5" t="s">
        <v>375</v>
      </c>
      <c r="F42" s="5" t="s">
        <v>300</v>
      </c>
      <c r="G42" s="4" t="n">
        <v>1</v>
      </c>
      <c r="H42" s="11" t="n">
        <v>18</v>
      </c>
      <c r="I42" s="11" t="n">
        <v>47</v>
      </c>
      <c r="J42" s="11" t="n">
        <f aca="false">G42*H42</f>
        <v>18</v>
      </c>
      <c r="K42" s="11" t="n">
        <f aca="false">G42*I42</f>
        <v>47</v>
      </c>
      <c r="L42" s="14" t="s">
        <v>226</v>
      </c>
      <c r="M42" s="13" t="s">
        <v>376</v>
      </c>
      <c r="N42" s="5" t="s">
        <v>377</v>
      </c>
    </row>
    <row r="43" customFormat="false" ht="15" hidden="false" customHeight="false" outlineLevel="0" collapsed="false">
      <c r="A43" s="4" t="s">
        <v>373</v>
      </c>
      <c r="B43" s="5" t="s">
        <v>378</v>
      </c>
      <c r="C43" s="5" t="s">
        <v>379</v>
      </c>
      <c r="D43" s="5" t="s">
        <v>380</v>
      </c>
      <c r="E43" s="5" t="s">
        <v>381</v>
      </c>
      <c r="F43" s="5" t="s">
        <v>191</v>
      </c>
      <c r="G43" s="4" t="n">
        <v>1</v>
      </c>
      <c r="H43" s="11" t="n">
        <v>20</v>
      </c>
      <c r="I43" s="11" t="n">
        <v>60</v>
      </c>
      <c r="J43" s="11" t="n">
        <f aca="false">G43*H43</f>
        <v>20</v>
      </c>
      <c r="K43" s="11" t="n">
        <f aca="false">G43*I43</f>
        <v>60</v>
      </c>
      <c r="L43" s="12" t="s">
        <v>192</v>
      </c>
      <c r="M43" s="5" t="s">
        <v>135</v>
      </c>
      <c r="N43" s="5" t="s">
        <v>382</v>
      </c>
    </row>
    <row r="44" customFormat="false" ht="23.85" hidden="false" customHeight="false" outlineLevel="0" collapsed="false">
      <c r="A44" s="4" t="s">
        <v>373</v>
      </c>
      <c r="B44" s="5" t="s">
        <v>164</v>
      </c>
      <c r="C44" s="5" t="s">
        <v>383</v>
      </c>
      <c r="D44" s="5" t="s">
        <v>384</v>
      </c>
      <c r="E44" s="5" t="s">
        <v>385</v>
      </c>
      <c r="F44" s="5" t="s">
        <v>306</v>
      </c>
      <c r="G44" s="4" t="n">
        <v>1</v>
      </c>
      <c r="H44" s="11" t="n">
        <v>227.86</v>
      </c>
      <c r="I44" s="11" t="n">
        <v>227.86</v>
      </c>
      <c r="J44" s="11" t="n">
        <f aca="false">G44*H44</f>
        <v>227.86</v>
      </c>
      <c r="K44" s="11" t="n">
        <f aca="false">G44*I44</f>
        <v>227.86</v>
      </c>
      <c r="L44" s="15" t="s">
        <v>291</v>
      </c>
      <c r="M44" s="13" t="s">
        <v>386</v>
      </c>
      <c r="N44" s="5" t="s">
        <v>387</v>
      </c>
    </row>
    <row r="45" customFormat="false" ht="23.85" hidden="false" customHeight="false" outlineLevel="0" collapsed="false">
      <c r="A45" s="4" t="s">
        <v>373</v>
      </c>
      <c r="B45" s="5" t="s">
        <v>164</v>
      </c>
      <c r="C45" s="5" t="s">
        <v>388</v>
      </c>
      <c r="D45" s="5" t="s">
        <v>389</v>
      </c>
      <c r="E45" s="5" t="s">
        <v>385</v>
      </c>
      <c r="F45" s="5" t="s">
        <v>306</v>
      </c>
      <c r="G45" s="4" t="n">
        <v>1</v>
      </c>
      <c r="H45" s="11" t="n">
        <v>361</v>
      </c>
      <c r="I45" s="11" t="n">
        <v>370</v>
      </c>
      <c r="J45" s="11" t="n">
        <f aca="false">G45*H45</f>
        <v>361</v>
      </c>
      <c r="K45" s="11" t="n">
        <f aca="false">G45*I45</f>
        <v>370</v>
      </c>
      <c r="L45" s="15" t="s">
        <v>291</v>
      </c>
      <c r="M45" s="13" t="s">
        <v>390</v>
      </c>
      <c r="N45" s="5" t="s">
        <v>391</v>
      </c>
    </row>
    <row r="46" customFormat="false" ht="23.85" hidden="false" customHeight="false" outlineLevel="0" collapsed="false">
      <c r="A46" s="4" t="s">
        <v>373</v>
      </c>
      <c r="B46" s="5" t="s">
        <v>392</v>
      </c>
      <c r="C46" s="5" t="s">
        <v>393</v>
      </c>
      <c r="D46" s="5" t="s">
        <v>394</v>
      </c>
      <c r="E46" s="5" t="s">
        <v>395</v>
      </c>
      <c r="F46" s="5" t="s">
        <v>241</v>
      </c>
      <c r="G46" s="4" t="n">
        <v>1</v>
      </c>
      <c r="H46" s="11" t="n">
        <v>26.7</v>
      </c>
      <c r="I46" s="11" t="n">
        <v>44.8</v>
      </c>
      <c r="J46" s="11" t="n">
        <f aca="false">G46*H46</f>
        <v>26.7</v>
      </c>
      <c r="K46" s="11" t="n">
        <f aca="false">G46*I46</f>
        <v>44.8</v>
      </c>
      <c r="L46" s="15" t="s">
        <v>291</v>
      </c>
      <c r="M46" s="13" t="s">
        <v>396</v>
      </c>
      <c r="N46" s="5" t="s">
        <v>397</v>
      </c>
    </row>
    <row r="48" customFormat="false" ht="15" hidden="false" customHeight="false" outlineLevel="0" collapsed="false">
      <c r="C48" s="16" t="s">
        <v>398</v>
      </c>
      <c r="J48" s="17" t="s">
        <v>399</v>
      </c>
      <c r="K48" s="17" t="s">
        <v>400</v>
      </c>
    </row>
    <row r="49" customFormat="false" ht="15" hidden="false" customHeight="false" outlineLevel="0" collapsed="false">
      <c r="C49" s="18" t="s">
        <v>186</v>
      </c>
      <c r="J49" s="11" t="n">
        <f aca="false">SUMIF($A$5:$A$46,"A",J$5:J$46)</f>
        <v>68</v>
      </c>
      <c r="K49" s="11" t="n">
        <f aca="false">SUMIF($A$5:$A$46,"A",K$5:K$46)</f>
        <v>263</v>
      </c>
    </row>
    <row r="50" customFormat="false" ht="15" hidden="false" customHeight="false" outlineLevel="0" collapsed="false">
      <c r="C50" s="18" t="s">
        <v>244</v>
      </c>
      <c r="J50" s="11" t="n">
        <f aca="false">SUMIF($A$5:$A$46,"B",J$5:J$46)</f>
        <v>215</v>
      </c>
      <c r="K50" s="11" t="n">
        <f aca="false">SUMIF($A$5:$A$46,"B",K$5:K$46)</f>
        <v>623</v>
      </c>
    </row>
    <row r="51" customFormat="false" ht="15" hidden="false" customHeight="false" outlineLevel="0" collapsed="false">
      <c r="C51" s="18" t="s">
        <v>294</v>
      </c>
      <c r="J51" s="11" t="n">
        <f aca="false">SUMIF($A$5:$A$46,"C",J$5:J$46)</f>
        <v>311</v>
      </c>
      <c r="K51" s="11" t="n">
        <f aca="false">SUMIF($A$5:$A$46,"C",K$5:K$46)</f>
        <v>598</v>
      </c>
    </row>
    <row r="52" customFormat="false" ht="15" hidden="false" customHeight="false" outlineLevel="0" collapsed="false">
      <c r="C52" s="18" t="s">
        <v>331</v>
      </c>
      <c r="J52" s="11" t="n">
        <f aca="false">SUMIF($A$5:$A$46,"D",J$5:J$46)</f>
        <v>78.19</v>
      </c>
      <c r="K52" s="11" t="n">
        <f aca="false">SUMIF($A$5:$A$46,"D",K$5:K$46)</f>
        <v>201.4</v>
      </c>
    </row>
    <row r="53" customFormat="false" ht="15" hidden="false" customHeight="false" outlineLevel="0" collapsed="false">
      <c r="C53" s="16" t="s">
        <v>401</v>
      </c>
      <c r="J53" s="19" t="n">
        <f aca="false">SUM(J49:J52)</f>
        <v>672.19</v>
      </c>
      <c r="K53" s="19" t="n">
        <f aca="false">SUM(K49:K52)</f>
        <v>1685.4</v>
      </c>
    </row>
    <row r="54" customFormat="false" ht="15" hidden="false" customHeight="false" outlineLevel="0" collapsed="false">
      <c r="C54" s="18" t="s">
        <v>402</v>
      </c>
      <c r="I54" s="20" t="n">
        <v>0.15</v>
      </c>
      <c r="J54" s="11" t="n">
        <f aca="false">J53*$I$54</f>
        <v>100.8285</v>
      </c>
      <c r="K54" s="11" t="n">
        <f aca="false">K53*$I$54</f>
        <v>252.81</v>
      </c>
    </row>
    <row r="55" customFormat="false" ht="15" hidden="false" customHeight="false" outlineLevel="0" collapsed="false">
      <c r="C55" s="16" t="s">
        <v>403</v>
      </c>
      <c r="J55" s="21" t="n">
        <f aca="false">J53+J54</f>
        <v>773.0185</v>
      </c>
      <c r="K55" s="21" t="n">
        <f aca="false">K53+K54</f>
        <v>1938.21</v>
      </c>
    </row>
    <row r="56" customFormat="false" ht="15" hidden="false" customHeight="false" outlineLevel="0" collapsed="false">
      <c r="C56" s="18" t="s">
        <v>372</v>
      </c>
      <c r="J56" s="11" t="n">
        <f aca="false">SUMIF($A$5:$A$46,"E",J$5:J$46)</f>
        <v>653.56</v>
      </c>
      <c r="K56" s="11" t="n">
        <f aca="false">SUMIF($A$5:$A$46,"E",K$5:K$46)</f>
        <v>749.66</v>
      </c>
    </row>
    <row r="58" customFormat="false" ht="15" hidden="false" customHeight="false" outlineLevel="0" collapsed="false">
      <c r="A58" s="16" t="s">
        <v>404</v>
      </c>
    </row>
    <row r="59" customFormat="false" ht="15" hidden="false" customHeight="false" outlineLevel="0" collapsed="false">
      <c r="A59" s="18" t="s">
        <v>405</v>
      </c>
    </row>
    <row r="60" customFormat="false" ht="15" hidden="false" customHeight="false" outlineLevel="0" collapsed="false">
      <c r="A60" s="18" t="s">
        <v>406</v>
      </c>
    </row>
    <row r="61" customFormat="false" ht="15" hidden="false" customHeight="false" outlineLevel="0" collapsed="false">
      <c r="A61" s="18" t="s">
        <v>407</v>
      </c>
    </row>
    <row r="62" customFormat="false" ht="15" hidden="false" customHeight="false" outlineLevel="0" collapsed="false">
      <c r="A62" s="18" t="s">
        <v>408</v>
      </c>
    </row>
    <row r="63" customFormat="false" ht="15" hidden="false" customHeight="false" outlineLevel="0" collapsed="false">
      <c r="A63" s="18"/>
    </row>
    <row r="64" customFormat="false" ht="15" hidden="false" customHeight="false" outlineLevel="0" collapsed="false">
      <c r="A64" s="16" t="s">
        <v>409</v>
      </c>
    </row>
    <row r="65" customFormat="false" ht="15" hidden="false" customHeight="false" outlineLevel="0" collapsed="false">
      <c r="A65" s="18" t="s">
        <v>410</v>
      </c>
    </row>
    <row r="66" customFormat="false" ht="15" hidden="false" customHeight="false" outlineLevel="0" collapsed="false">
      <c r="A66" s="18" t="s">
        <v>411</v>
      </c>
    </row>
    <row r="67" customFormat="false" ht="15" hidden="false" customHeight="false" outlineLevel="0" collapsed="false">
      <c r="A67" s="18" t="s">
        <v>412</v>
      </c>
    </row>
    <row r="68" customFormat="false" ht="15" hidden="false" customHeight="false" outlineLevel="0" collapsed="false">
      <c r="A68" s="18" t="s">
        <v>413</v>
      </c>
    </row>
    <row r="69" customFormat="false" ht="15" hidden="false" customHeight="false" outlineLevel="0" collapsed="false">
      <c r="A69" s="18" t="s">
        <v>414</v>
      </c>
    </row>
    <row r="70" customFormat="false" ht="15" hidden="false" customHeight="false" outlineLevel="0" collapsed="false">
      <c r="A70" s="18" t="s">
        <v>415</v>
      </c>
    </row>
    <row r="71" customFormat="false" ht="15" hidden="false" customHeight="false" outlineLevel="0" collapsed="false">
      <c r="A71" s="18" t="s">
        <v>416</v>
      </c>
    </row>
  </sheetData>
  <hyperlinks>
    <hyperlink ref="M6" r:id="rId1" display="https://voestalpine.com/highperformancemetals/ecuador/es/"/>
    <hyperlink ref="M7" r:id="rId2" display="https://voestalpine.com/highperformancemetals/ecuador/es/bohler/tabla-de-colores-bohler-digital_compressed"/>
    <hyperlink ref="M8" r:id="rId3" display="https://dipacmanta.com/ejes-dipac-2/"/>
    <hyperlink ref="M9" r:id="rId4" display="https://dismetal.ec/productos/planchas/aluminio-liso"/>
    <hyperlink ref="M10" r:id="rId5" display="https://www.importaceros.com/"/>
    <hyperlink ref="M11" r:id="rId6" display="https://dismetal.ec/productos/planchas/aluminio-liso"/>
    <hyperlink ref="M12" r:id="rId7" display="https://listado.mercadolibre.com.ec/tubo-redondo-de-aluminio"/>
    <hyperlink ref="M13" r:id="rId8" display="https://www.sutin.ec/productos/plasticos-de-ingenieria"/>
    <hyperlink ref="M14" r:id="rId9" display="https://voestalpine.com/highperformancemetals/ecuador/es/"/>
    <hyperlink ref="M15" r:id="rId10" display="https://listado.mercadolibre.com.ec/goma-eva"/>
    <hyperlink ref="M17" r:id="rId11" display="https://prosoldes.com/servicios/corte-por-laser-de-fibra-optica-oxi-y-plasma/"/>
    <hyperlink ref="M19" r:id="rId12" display="https://lathecenter.com/"/>
    <hyperlink ref="M21" r:id="rId13" display="https://www.voestalpine.com/highperformancemetals/ecuador/es/tratamiento-termico/"/>
    <hyperlink ref="M22" r:id="rId14" display="https://acein.com.ec/servicios/afilado-rectificado/"/>
    <hyperlink ref="M24" r:id="rId15" display="https://prodemaq.com/servicios/"/>
    <hyperlink ref="M26" r:id="rId16" display="https://www.aliexpress.com/w/wholesale-brushless-dc-planetary-gear-motor.html"/>
    <hyperlink ref="M27" r:id="rId17" display="https://listado.mercadolibre.com.ec/bicicletas-ciclismo/motor-ebike"/>
    <hyperlink ref="M28" r:id="rId18" display="https://www.aliexpress.us/item/3256804643265503.html"/>
    <hyperlink ref="M29" r:id="rId19" display="https://listado.mercadolibre.com.ec/bateria-de-litio-36v"/>
    <hyperlink ref="M30" r:id="rId20" display="https://listado.mercadolibre.com.ec/arduino-nano-v3"/>
    <hyperlink ref="M31" r:id="rId21" display="https://www.aduana.gob.ec/gaceta-boletin/nueva-tarifa-para-envios-por-categoria-b-bajo-el-regimen-de-mensajeria-acelerada-o-courier/"/>
    <hyperlink ref="M33" r:id="rId22" display="https://www.asmc.net/m12-x-m10-x-25-mm-coarse-thread-iso-7379-class-12-9-socket-shoulder-screw-alloy-steel-black-oxide/"/>
    <hyperlink ref="M34" r:id="rId23" display="https://www.123bearing.com/accessories/washer/spring-disc-din2093/s4287"/>
    <hyperlink ref="M35" r:id="rId24" display="https://www.ebay.de/itm/157333044301"/>
    <hyperlink ref="M36" r:id="rId25" display="https://www.kywi.com.ec/perno-c-cilindrica-metrico-m6x20-2u-/p"/>
    <hyperlink ref="M37" r:id="rId26" display="https://listado.mercadolibre.com.ec/agro/arnes-para-motoguadana"/>
    <hyperlink ref="M38" r:id="rId27" display="https://www.kywi.com.ec/mosqueton-de-enlace-rapido-de-5-16-x-3-8-x-3-pulgadas-con-capacidad-de-carga-maxima-de-230-kg/p"/>
    <hyperlink ref="M39" r:id="rId28" display="https://listado.mercadolibre.com.ec/bicicletas-ciclismo/cable-de-freno-bicicleta"/>
    <hyperlink ref="M40" r:id="rId29" display="https://mountainsmith.com/products/carbine-tips"/>
    <hyperlink ref="M42" r:id="rId30" display="https://carbonfibertubes.net/products/od-30mm-x-id-20mm-25mm-26mm-27mm-28mm-x-500mm-100-roll-wrapped-carbon-fiber-tube-3k-tubing-twill-plain-glossy-matte-30-20-30-25-30-26-30-27-30-28"/>
    <hyperlink ref="M44" r:id="rId31" display="https://www.pintulac.com.ec/categorias/herramientas/herramientas-electricas/makita/baterias-y-cargadores-makita.html"/>
    <hyperlink ref="M45" r:id="rId32" display="https://www.pintulac.com.ec/bateria-lxt-litio-5ah-18v-makita.html"/>
    <hyperlink ref="M46" r:id="rId33" display="https://skp3d.com/product-category/consumibles/filamento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8"/>
    <col collapsed="false" customWidth="true" hidden="false" outlineLevel="0" max="3" min="3" style="0" width="70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1" t="s">
        <v>417</v>
      </c>
    </row>
    <row r="2" customFormat="false" ht="15" hidden="false" customHeight="false" outlineLevel="0" collapsed="false">
      <c r="A2" s="2" t="s">
        <v>418</v>
      </c>
    </row>
    <row r="4" customFormat="false" ht="15" hidden="false" customHeight="false" outlineLevel="0" collapsed="false">
      <c r="A4" s="17" t="s">
        <v>419</v>
      </c>
      <c r="B4" s="17" t="s">
        <v>178</v>
      </c>
      <c r="C4" s="17" t="s">
        <v>420</v>
      </c>
      <c r="D4" s="17" t="s">
        <v>421</v>
      </c>
    </row>
    <row r="5" customFormat="false" ht="23.85" hidden="false" customHeight="false" outlineLevel="0" collapsed="false">
      <c r="A5" s="5" t="s">
        <v>190</v>
      </c>
      <c r="B5" s="5" t="s">
        <v>422</v>
      </c>
      <c r="C5" s="5" t="s">
        <v>423</v>
      </c>
      <c r="D5" s="22" t="s">
        <v>193</v>
      </c>
    </row>
    <row r="6" customFormat="false" ht="15" hidden="false" customHeight="false" outlineLevel="0" collapsed="false">
      <c r="A6" s="5" t="s">
        <v>424</v>
      </c>
      <c r="B6" s="5" t="s">
        <v>425</v>
      </c>
      <c r="C6" s="5" t="s">
        <v>426</v>
      </c>
      <c r="D6" s="22" t="s">
        <v>427</v>
      </c>
    </row>
    <row r="7" customFormat="false" ht="15" hidden="false" customHeight="false" outlineLevel="0" collapsed="false">
      <c r="A7" s="5" t="s">
        <v>428</v>
      </c>
      <c r="B7" s="5" t="s">
        <v>191</v>
      </c>
      <c r="C7" s="5" t="s">
        <v>429</v>
      </c>
      <c r="D7" s="22" t="s">
        <v>430</v>
      </c>
    </row>
    <row r="8" customFormat="false" ht="15" hidden="false" customHeight="false" outlineLevel="0" collapsed="false">
      <c r="A8" s="5" t="s">
        <v>431</v>
      </c>
      <c r="B8" s="5" t="s">
        <v>191</v>
      </c>
      <c r="C8" s="5" t="s">
        <v>432</v>
      </c>
      <c r="D8" s="22" t="s">
        <v>433</v>
      </c>
    </row>
    <row r="9" customFormat="false" ht="15" hidden="false" customHeight="false" outlineLevel="0" collapsed="false">
      <c r="A9" s="5" t="s">
        <v>434</v>
      </c>
      <c r="B9" s="5" t="s">
        <v>435</v>
      </c>
      <c r="C9" s="5" t="s">
        <v>436</v>
      </c>
      <c r="D9" s="4" t="s">
        <v>135</v>
      </c>
    </row>
    <row r="10" customFormat="false" ht="15" hidden="false" customHeight="false" outlineLevel="0" collapsed="false">
      <c r="A10" s="5" t="s">
        <v>437</v>
      </c>
      <c r="B10" s="5" t="s">
        <v>438</v>
      </c>
      <c r="C10" s="5" t="s">
        <v>439</v>
      </c>
      <c r="D10" s="22" t="s">
        <v>440</v>
      </c>
    </row>
    <row r="11" customFormat="false" ht="15" hidden="false" customHeight="false" outlineLevel="0" collapsed="false">
      <c r="A11" s="5" t="s">
        <v>441</v>
      </c>
      <c r="B11" s="5" t="s">
        <v>442</v>
      </c>
      <c r="C11" s="5" t="s">
        <v>443</v>
      </c>
      <c r="D11" s="22" t="s">
        <v>444</v>
      </c>
    </row>
    <row r="12" customFormat="false" ht="15" hidden="false" customHeight="false" outlineLevel="0" collapsed="false">
      <c r="A12" s="5" t="s">
        <v>445</v>
      </c>
      <c r="B12" s="5" t="s">
        <v>446</v>
      </c>
      <c r="C12" s="5" t="s">
        <v>447</v>
      </c>
      <c r="D12" s="22" t="s">
        <v>448</v>
      </c>
    </row>
    <row r="13" customFormat="false" ht="15" hidden="false" customHeight="false" outlineLevel="0" collapsed="false">
      <c r="A13" s="5" t="s">
        <v>449</v>
      </c>
      <c r="B13" s="5" t="s">
        <v>232</v>
      </c>
      <c r="C13" s="5" t="s">
        <v>450</v>
      </c>
      <c r="D13" s="22" t="s">
        <v>451</v>
      </c>
    </row>
    <row r="14" customFormat="false" ht="15" hidden="false" customHeight="false" outlineLevel="0" collapsed="false">
      <c r="A14" s="5" t="s">
        <v>452</v>
      </c>
      <c r="B14" s="5" t="s">
        <v>191</v>
      </c>
      <c r="C14" s="5" t="s">
        <v>453</v>
      </c>
      <c r="D14" s="22" t="s">
        <v>454</v>
      </c>
    </row>
    <row r="15" customFormat="false" ht="15" hidden="false" customHeight="false" outlineLevel="0" collapsed="false">
      <c r="A15" s="5" t="s">
        <v>455</v>
      </c>
      <c r="B15" s="5" t="s">
        <v>456</v>
      </c>
      <c r="C15" s="5" t="s">
        <v>457</v>
      </c>
      <c r="D15" s="22" t="s">
        <v>458</v>
      </c>
    </row>
    <row r="16" customFormat="false" ht="23.85" hidden="false" customHeight="false" outlineLevel="0" collapsed="false">
      <c r="A16" s="5" t="s">
        <v>459</v>
      </c>
      <c r="B16" s="5" t="s">
        <v>460</v>
      </c>
      <c r="C16" s="5" t="s">
        <v>461</v>
      </c>
      <c r="D16" s="22" t="s">
        <v>462</v>
      </c>
    </row>
    <row r="17" customFormat="false" ht="15" hidden="false" customHeight="false" outlineLevel="0" collapsed="false">
      <c r="A17" s="5" t="s">
        <v>463</v>
      </c>
      <c r="B17" s="5" t="s">
        <v>422</v>
      </c>
      <c r="C17" s="5" t="s">
        <v>464</v>
      </c>
      <c r="D17" s="22" t="s">
        <v>465</v>
      </c>
    </row>
    <row r="18" customFormat="false" ht="15" hidden="false" customHeight="false" outlineLevel="0" collapsed="false">
      <c r="A18" s="5" t="s">
        <v>466</v>
      </c>
      <c r="B18" s="5" t="s">
        <v>191</v>
      </c>
      <c r="C18" s="5" t="s">
        <v>467</v>
      </c>
      <c r="D18" s="22" t="s">
        <v>468</v>
      </c>
    </row>
    <row r="19" customFormat="false" ht="15" hidden="false" customHeight="false" outlineLevel="0" collapsed="false">
      <c r="A19" s="5" t="s">
        <v>469</v>
      </c>
      <c r="B19" s="5" t="s">
        <v>191</v>
      </c>
      <c r="C19" s="5" t="s">
        <v>470</v>
      </c>
      <c r="D19" s="22" t="s">
        <v>471</v>
      </c>
    </row>
    <row r="20" customFormat="false" ht="15" hidden="false" customHeight="false" outlineLevel="0" collapsed="false">
      <c r="A20" s="5" t="s">
        <v>472</v>
      </c>
      <c r="B20" s="5" t="s">
        <v>191</v>
      </c>
      <c r="C20" s="5" t="s">
        <v>473</v>
      </c>
      <c r="D20" s="22" t="s">
        <v>474</v>
      </c>
    </row>
    <row r="21" customFormat="false" ht="15" hidden="false" customHeight="false" outlineLevel="0" collapsed="false">
      <c r="A21" s="5" t="s">
        <v>475</v>
      </c>
      <c r="B21" s="5" t="s">
        <v>191</v>
      </c>
      <c r="C21" s="5" t="s">
        <v>476</v>
      </c>
      <c r="D21" s="22" t="s">
        <v>477</v>
      </c>
    </row>
    <row r="22" customFormat="false" ht="15" hidden="false" customHeight="false" outlineLevel="0" collapsed="false">
      <c r="A22" s="5" t="s">
        <v>478</v>
      </c>
      <c r="B22" s="5" t="s">
        <v>191</v>
      </c>
      <c r="C22" s="5" t="s">
        <v>479</v>
      </c>
      <c r="D22" s="22" t="s">
        <v>480</v>
      </c>
    </row>
    <row r="23" customFormat="false" ht="15" hidden="false" customHeight="false" outlineLevel="0" collapsed="false">
      <c r="A23" s="5" t="s">
        <v>481</v>
      </c>
      <c r="B23" s="5" t="s">
        <v>482</v>
      </c>
      <c r="C23" s="5" t="s">
        <v>483</v>
      </c>
      <c r="D23" s="22" t="s">
        <v>484</v>
      </c>
    </row>
    <row r="24" customFormat="false" ht="15" hidden="false" customHeight="false" outlineLevel="0" collapsed="false">
      <c r="A24" s="5" t="s">
        <v>385</v>
      </c>
      <c r="B24" s="5" t="s">
        <v>485</v>
      </c>
      <c r="C24" s="5" t="s">
        <v>486</v>
      </c>
      <c r="D24" s="22" t="s">
        <v>487</v>
      </c>
    </row>
    <row r="25" customFormat="false" ht="15" hidden="false" customHeight="false" outlineLevel="0" collapsed="false">
      <c r="A25" s="5" t="s">
        <v>488</v>
      </c>
      <c r="B25" s="5" t="s">
        <v>485</v>
      </c>
      <c r="C25" s="5" t="s">
        <v>489</v>
      </c>
      <c r="D25" s="22" t="s">
        <v>490</v>
      </c>
    </row>
    <row r="26" customFormat="false" ht="15" hidden="false" customHeight="false" outlineLevel="0" collapsed="false">
      <c r="A26" s="5" t="s">
        <v>491</v>
      </c>
      <c r="B26" s="5" t="s">
        <v>350</v>
      </c>
      <c r="C26" s="5" t="s">
        <v>492</v>
      </c>
      <c r="D26" s="22" t="s">
        <v>493</v>
      </c>
    </row>
    <row r="27" customFormat="false" ht="15" hidden="false" customHeight="false" outlineLevel="0" collapsed="false">
      <c r="A27" s="5" t="s">
        <v>494</v>
      </c>
      <c r="B27" s="5" t="s">
        <v>306</v>
      </c>
      <c r="C27" s="5" t="s">
        <v>495</v>
      </c>
      <c r="D27" s="22" t="s">
        <v>496</v>
      </c>
    </row>
    <row r="28" customFormat="false" ht="15" hidden="false" customHeight="false" outlineLevel="0" collapsed="false">
      <c r="A28" s="5" t="s">
        <v>318</v>
      </c>
      <c r="B28" s="5" t="s">
        <v>497</v>
      </c>
      <c r="C28" s="5" t="s">
        <v>498</v>
      </c>
      <c r="D28" s="22" t="s">
        <v>499</v>
      </c>
    </row>
  </sheetData>
  <hyperlinks>
    <hyperlink ref="D5" r:id="rId1" display="https://voestalpine.com/highperformancemetals/ecuador/es/"/>
    <hyperlink ref="D6" r:id="rId2" display="https://dipacmanta.com"/>
    <hyperlink ref="D7" r:id="rId3" display="https://www.importaceros.com"/>
    <hyperlink ref="D8" r:id="rId4" display="https://dismetal.ec"/>
    <hyperlink ref="D10" r:id="rId5" display="https://www.sutin.ec"/>
    <hyperlink ref="D11" r:id="rId6" display="https://prosoldes.com"/>
    <hyperlink ref="D12" r:id="rId7" display="https://standscreativa.com"/>
    <hyperlink ref="D13" r:id="rId8" display="http://prosergraf.com"/>
    <hyperlink ref="D14" r:id="rId9" display="https://lasermetalquito.com.ec"/>
    <hyperlink ref="D15" r:id="rId10" display="https://r3labecuador.com"/>
    <hyperlink ref="D16" r:id="rId11" display="https://lathecenter.com"/>
    <hyperlink ref="D17" r:id="rId12" display="https://acein.com.ec"/>
    <hyperlink ref="D18" r:id="rId13" display="https://aceros.ec"/>
    <hyperlink ref="D19" r:id="rId14" display="https://importsierra.com"/>
    <hyperlink ref="D20" r:id="rId15" display="https://prodemaq.com"/>
    <hyperlink ref="D21" r:id="rId16" display="https://www.makergroupecuador.com"/>
    <hyperlink ref="D22" r:id="rId17" display="https://skp3d.com"/>
    <hyperlink ref="D23" r:id="rId18" display="https://novatronicec.com"/>
    <hyperlink ref="D24" r:id="rId19" display="https://www.pintulac.com.ec"/>
    <hyperlink ref="D25" r:id="rId20" display="https://dewalt.ec"/>
    <hyperlink ref="D26" r:id="rId21" display="https://www.kywi.com.ec"/>
    <hyperlink ref="D27" r:id="rId22" display="https://www.steren.com.ec"/>
    <hyperlink ref="D28" r:id="rId23" display="https://www.mercadolibre.com.e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2026-10-12T12:47:46Z</dcterms:created>
  <dc:creator>openpyxl</dc:creator>
  <dc:description/>
  <dc:language>en-US</dc:language>
  <cp:lastModifiedBy/>
  <dcterms:modified xsi:type="dcterms:W3CDTF">2026-10-12T12:47:46Z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