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ta de materiales" sheetId="1" state="visible" r:id="rId3"/>
  </sheets>
  <definedNames>
    <definedName function="false" hidden="false" localSheetId="0" name="_xlnm.Print_Titles" vbProcedure="false">'Lista de materiales'!$4:$4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<sst xmlns="http://schemas.openxmlformats.org/spreadsheetml/2006/main" count="222" uniqueCount="172">
  <si>
    <t xml:space="preserve">Tijera de caña con apoyo de antebrazo · Lista de materiales (Rev. B, conceptual)</t>
  </si>
  <si>
    <t xml:space="preserve">Masas calculadas del modelo 3D (fuente/modelo.py). Diseño para prototipo: confirmar la fuerza de corte con un ensayo antes de fabricar las piezas de acero.</t>
  </si>
  <si>
    <t xml:space="preserve">Código</t>
  </si>
  <si>
    <t xml:space="preserve">Denominación</t>
  </si>
  <si>
    <t xml:space="preserve">Grupo</t>
  </si>
  <si>
    <t xml:space="preserve">Material / especificación</t>
  </si>
  <si>
    <t xml:space="preserve">Cant.</t>
  </si>
  <si>
    <t xml:space="preserve">Masa unit. (g)</t>
  </si>
  <si>
    <t xml:space="preserve">Masa total (g)</t>
  </si>
  <si>
    <t xml:space="preserve">Cómo se fabrica / qué comprar</t>
  </si>
  <si>
    <t xml:space="preserve">Plano DXF</t>
  </si>
  <si>
    <t xml:space="preserve">Modelo 3D (STEP)</t>
  </si>
  <si>
    <t xml:space="preserve">P01</t>
  </si>
  <si>
    <t xml:space="preserve">Contracuchilla-gancho</t>
  </si>
  <si>
    <t xml:space="preserve">Cabezal</t>
  </si>
  <si>
    <t xml:space="preserve">Acero SK5 / 65Mn templado 52-55 HRC, e = 8</t>
  </si>
  <si>
    <t xml:space="preserve">Corte láser, plasma o chorro de agua desde el DXF (chapa 8 mm). Rectificar el borde de cizalla a escuadra. Templar a 52-55 HRC.</t>
  </si>
  <si>
    <t xml:space="preserve">P01_contracuchilla_gancho.dxf</t>
  </si>
  <si>
    <t xml:space="preserve">P01_contracuchilla_gancho.step</t>
  </si>
  <si>
    <t xml:space="preserve">P02</t>
  </si>
  <si>
    <t xml:space="preserve">Cuchilla móvil</t>
  </si>
  <si>
    <t xml:space="preserve">Acero D2 o SK5 templado 56-58 HRC, e = 5</t>
  </si>
  <si>
    <t xml:space="preserve">Corte por hilo o láser desde el DXF (chapa 5 mm). Afilar bisel de 25-30° por un solo lado, cara plana contra el gancho. Templar a 56-58 HRC.</t>
  </si>
  <si>
    <t xml:space="preserve">P02_cuchilla_movil.dxf</t>
  </si>
  <si>
    <t xml:space="preserve">P02_cuchilla_movil.step</t>
  </si>
  <si>
    <t xml:space="preserve">P03</t>
  </si>
  <si>
    <t xml:space="preserve">Placa base</t>
  </si>
  <si>
    <t xml:space="preserve">Aluminio 7075-T6, e = 8, anodizado</t>
  </si>
  <si>
    <t xml:space="preserve">Corte por chorro de agua o CNC (placa 8 mm). Rebaje de media madera y avellanados. Anodizado.</t>
  </si>
  <si>
    <t xml:space="preserve">P03_placa_base.dxf</t>
  </si>
  <si>
    <t xml:space="preserve">P03_placa_base.step</t>
  </si>
  <si>
    <t xml:space="preserve">P04</t>
  </si>
  <si>
    <t xml:space="preserve">Patín rasante</t>
  </si>
  <si>
    <t xml:space="preserve">UHMW-PE, e = 3</t>
  </si>
  <si>
    <t xml:space="preserve">Corte CNC o a cuchilla desde el DXF (lámina 3 mm). Avellanados para los tornillos.</t>
  </si>
  <si>
    <t xml:space="preserve">P04_patin_rasante.dxf</t>
  </si>
  <si>
    <t xml:space="preserve">P04_patin_rasante.step</t>
  </si>
  <si>
    <t xml:space="preserve">P05</t>
  </si>
  <si>
    <t xml:space="preserve">Torre del cabezal</t>
  </si>
  <si>
    <t xml:space="preserve">Aluminio 6061-T6 mecanizado, anodizado</t>
  </si>
  <si>
    <t xml:space="preserve">Mecanizado CNC desde el STEP. Anodizado.</t>
  </si>
  <si>
    <t xml:space="preserve">P05_torre_del_cabezal.dxf</t>
  </si>
  <si>
    <t xml:space="preserve">P05_torre_del_cabezal.step</t>
  </si>
  <si>
    <t xml:space="preserve">P06</t>
  </si>
  <si>
    <t xml:space="preserve">Palanca angular (balancín)</t>
  </si>
  <si>
    <t xml:space="preserve">Acero SAE 4140 bonificado, e = 8</t>
  </si>
  <si>
    <t xml:space="preserve">Corte láser (chapa 8 mm), escariar los agujeros. Bonificado.</t>
  </si>
  <si>
    <t xml:space="preserve">P06_palanca_angular_balancin.dxf</t>
  </si>
  <si>
    <t xml:space="preserve">P06_palanca_angular_balancin.step</t>
  </si>
  <si>
    <t xml:space="preserve">P07</t>
  </si>
  <si>
    <t xml:space="preserve">Biela</t>
  </si>
  <si>
    <t xml:space="preserve">Acero SAE 1045, pletina 16 x 6</t>
  </si>
  <si>
    <t xml:space="preserve">Corte y taladrado de pletina 16 x 6. Escariar los agujeros.</t>
  </si>
  <si>
    <t xml:space="preserve">P07_biela.dxf</t>
  </si>
  <si>
    <t xml:space="preserve">P07_biela.step</t>
  </si>
  <si>
    <t xml:space="preserve">P08</t>
  </si>
  <si>
    <t xml:space="preserve">Tubo</t>
  </si>
  <si>
    <t xml:space="preserve">Brazo</t>
  </si>
  <si>
    <t xml:space="preserve">Tubo de carbono Ø30 x 2 (prototipo: aluminio 6061-T6)</t>
  </si>
  <si>
    <t xml:space="preserve">Cortar el tubo a medida. Con carbono: disco diamantado y sellar el corte con epoxi.</t>
  </si>
  <si>
    <t xml:space="preserve">P08_tubo.dxf</t>
  </si>
  <si>
    <t xml:space="preserve">P08_tubo.step</t>
  </si>
  <si>
    <t xml:space="preserve">P09</t>
  </si>
  <si>
    <t xml:space="preserve">Varilla de tracción</t>
  </si>
  <si>
    <t xml:space="preserve">Tubo aluminio 7075-T6 Ø10 x 1,5</t>
  </si>
  <si>
    <t xml:space="preserve">Cortar el tubo y mecanizar los extremos.</t>
  </si>
  <si>
    <t xml:space="preserve">P09_varilla_de_traccion.dxf</t>
  </si>
  <si>
    <t xml:space="preserve">P09_varilla_de_traccion.step</t>
  </si>
  <si>
    <t xml:space="preserve">P10</t>
  </si>
  <si>
    <t xml:space="preserve">Carcasa de accionamiento</t>
  </si>
  <si>
    <t xml:space="preserve">PA6-GF30 (prototipo: impresión 3D PA-CF)</t>
  </si>
  <si>
    <t xml:space="preserve">Prototipo: impresión 3D en PA-CF. Serie: inyección PA6-GF30.</t>
  </si>
  <si>
    <t xml:space="preserve">P10_carcasa_de_accionamiento.dxf</t>
  </si>
  <si>
    <t xml:space="preserve">P10_carcasa_de_accionamiento.step</t>
  </si>
  <si>
    <t xml:space="preserve">P11</t>
  </si>
  <si>
    <t xml:space="preserve">Empuñadura ergonómica con guardamonte</t>
  </si>
  <si>
    <t xml:space="preserve">PA6-GF30 con sobremoldeo TPE</t>
  </si>
  <si>
    <t xml:space="preserve">Prototipo: impresión 3D. Serie: inyección PA6-GF30 con sobremoldeo TPE de 3 mm.</t>
  </si>
  <si>
    <t xml:space="preserve">P11_empunadura_ergonomica_con_guardamonte.dxf</t>
  </si>
  <si>
    <t xml:space="preserve">P11_empunadura_ergonomica_con_guardamonte.step</t>
  </si>
  <si>
    <t xml:space="preserve">P12</t>
  </si>
  <si>
    <t xml:space="preserve">Gatillo de cuatro dedos (tipo rozadora)</t>
  </si>
  <si>
    <t xml:space="preserve">PA6-GF30</t>
  </si>
  <si>
    <t xml:space="preserve">Prototipo: impresión 3D. Serie: inyección PA6-GF30.</t>
  </si>
  <si>
    <t xml:space="preserve">P12_gatillo_de_cuatro_dedos_tipo_rozadora.dxf</t>
  </si>
  <si>
    <t xml:space="preserve">P12_gatillo_de_cuatro_dedos_tipo_rozadora.step</t>
  </si>
  <si>
    <t xml:space="preserve">P13</t>
  </si>
  <si>
    <t xml:space="preserve">Brazo del apoyo de antebrazo</t>
  </si>
  <si>
    <t xml:space="preserve">Apoyo de antebrazo</t>
  </si>
  <si>
    <t xml:space="preserve">Aluminio 6061-T6, chapa 6 mm</t>
  </si>
  <si>
    <t xml:space="preserve">Corte láser y plegado (chapa 6 mm) + ala de 7 mm.</t>
  </si>
  <si>
    <t xml:space="preserve">P13_brazo_del_apoyo_de_antebrazo.dxf</t>
  </si>
  <si>
    <t xml:space="preserve">P13_brazo_del_apoyo_de_antebrazo.step</t>
  </si>
  <si>
    <t xml:space="preserve">P14</t>
  </si>
  <si>
    <t xml:space="preserve">Cuna de antebrazo</t>
  </si>
  <si>
    <t xml:space="preserve">PA6-GF30 (o aluminio 5052 plegado)</t>
  </si>
  <si>
    <t xml:space="preserve">Impresión 3D, o chapa de aluminio 5052 plegada.</t>
  </si>
  <si>
    <t xml:space="preserve">P14_cuna_de_antebrazo.dxf</t>
  </si>
  <si>
    <t xml:space="preserve">P14_cuna_de_antebrazo.step</t>
  </si>
  <si>
    <t xml:space="preserve">P15</t>
  </si>
  <si>
    <t xml:space="preserve">Almohadilla y correa</t>
  </si>
  <si>
    <t xml:space="preserve">EVA 5 mm + correa de velcro con hebilla de liberación</t>
  </si>
  <si>
    <t xml:space="preserve">EVA de 5 mm cortada a cuchilla + correa de velcro cosida con hebilla de liberación rápida.</t>
  </si>
  <si>
    <t xml:space="preserve">P15_almohadilla_y_correa.dxf</t>
  </si>
  <si>
    <t xml:space="preserve">P15_almohadilla_y_correa.step</t>
  </si>
  <si>
    <t xml:space="preserve">P16</t>
  </si>
  <si>
    <t xml:space="preserve">Anilla para correa de hombro</t>
  </si>
  <si>
    <t xml:space="preserve">Abrazadera PA6 + anilla inoxidable</t>
  </si>
  <si>
    <t xml:space="preserve">Abrazadera impresa en 3D + anilla de acero inoxidable comercial.</t>
  </si>
  <si>
    <t xml:space="preserve">P16_anilla_para_correa_de_hombro.dxf</t>
  </si>
  <si>
    <t xml:space="preserve">P16_anilla_para_correa_de_hombro.step</t>
  </si>
  <si>
    <t xml:space="preserve">P17</t>
  </si>
  <si>
    <t xml:space="preserve">Punta envolvente con resorte</t>
  </si>
  <si>
    <t xml:space="preserve">Acero inoxidable 17-4PH o SAE 4140 pavonado, e = 6</t>
  </si>
  <si>
    <t xml:space="preserve">Corte láser o por hilo (chapa 6 mm). Mecanizar la bisagra.</t>
  </si>
  <si>
    <t xml:space="preserve">P17_punta_envolvente_con_resorte.dxf</t>
  </si>
  <si>
    <t xml:space="preserve">P17_punta_envolvente_con_resorte.step</t>
  </si>
  <si>
    <t xml:space="preserve">P18</t>
  </si>
  <si>
    <t xml:space="preserve">Palanca de pulgar (opcional)</t>
  </si>
  <si>
    <t xml:space="preserve">PA6-GF30 con TPE</t>
  </si>
  <si>
    <t xml:space="preserve">Impresión 3D con recubrimiento de TPE.</t>
  </si>
  <si>
    <t xml:space="preserve">P18_palanca_de_pulgar_opcional.dxf</t>
  </si>
  <si>
    <t xml:space="preserve">P18_palanca_de_pulgar_opcional.step</t>
  </si>
  <si>
    <t xml:space="preserve">P19</t>
  </si>
  <si>
    <t xml:space="preserve">Pata de apoyo plegable (bípode)</t>
  </si>
  <si>
    <t xml:space="preserve">Tubo aluminio 6061 Ø12 x 1, abrazadera PA6-GF30, tacos de caucho</t>
  </si>
  <si>
    <t xml:space="preserve">Patas: tubo de aluminio cortado a 311 mm. Abrazadera impresa en 3D. Puntas de acero torneadas y templadas (Ø8 x 25 mm) + disco de caucho.</t>
  </si>
  <si>
    <t xml:space="preserve">P19_pata_de_apoyo_plegable_bipode.dxf</t>
  </si>
  <si>
    <t xml:space="preserve">P19_pata_de_apoyo_plegable_bipode.step</t>
  </si>
  <si>
    <t xml:space="preserve">C01</t>
  </si>
  <si>
    <t xml:space="preserve">Motor sin escobillas 300-400 W, 36 V</t>
  </si>
  <si>
    <t xml:space="preserve">Accionamiento</t>
  </si>
  <si>
    <t xml:space="preserve">Comercial</t>
  </si>
  <si>
    <t xml:space="preserve">Motor sin escobillas (BLDC) de 36 V y 300-400 W, con sensores Hall. Controlador con freno eléctrico.</t>
  </si>
  <si>
    <t xml:space="preserve">comercial</t>
  </si>
  <si>
    <t xml:space="preserve">—</t>
  </si>
  <si>
    <t xml:space="preserve">C02</t>
  </si>
  <si>
    <t xml:space="preserve">Reductor planetario 15:1</t>
  </si>
  <si>
    <t xml:space="preserve">Reductor planetario 15:1 que acople al eje del motor.</t>
  </si>
  <si>
    <t xml:space="preserve">C03</t>
  </si>
  <si>
    <t xml:space="preserve">Husillo de bolas SFU1605</t>
  </si>
  <si>
    <t xml:space="preserve">Husillo de bolas SFU1605 (Ø16 mm, paso 5 mm) con soporte de rodamiento. Largo según el plano de conjunto.</t>
  </si>
  <si>
    <t xml:space="preserve">C04</t>
  </si>
  <si>
    <t xml:space="preserve">Tuerca del husillo + horquilla de tiro</t>
  </si>
  <si>
    <t xml:space="preserve">Tuerca SFU1605 + horquilla de tiro mecanizada.</t>
  </si>
  <si>
    <t xml:space="preserve">C06</t>
  </si>
  <si>
    <t xml:space="preserve">Perno pivote M12 con hombro + arandelas Belleville</t>
  </si>
  <si>
    <t xml:space="preserve">Comercial (ISO 7379)</t>
  </si>
  <si>
    <t xml:space="preserve">Perno con hombro ISO 7379 de M12 + arandelas Belleville (mantienen el juego de 0,05-0,1 mm).</t>
  </si>
  <si>
    <t xml:space="preserve">C07</t>
  </si>
  <si>
    <t xml:space="preserve">Pasador Ø6 + separador + resorte de torsión de la punta</t>
  </si>
  <si>
    <t xml:space="preserve">Pasador Ø6 + separador + resorte de torsión de 0,3 N·m.</t>
  </si>
  <si>
    <t xml:space="preserve">C08</t>
  </si>
  <si>
    <t xml:space="preserve">Correa de hombro de rozadora con mosquetón</t>
  </si>
  <si>
    <t xml:space="preserve">Comercial (arnés simple de desbrozadora)</t>
  </si>
  <si>
    <t xml:space="preserve">Arnés simple de desbrozadora, con mosquetón de liberación rápida.</t>
  </si>
  <si>
    <t xml:space="preserve">C09</t>
  </si>
  <si>
    <t xml:space="preserve">Botón de pulgar + cable de la pata P19</t>
  </si>
  <si>
    <t xml:space="preserve">Palanca de pulgar + cable de freno de bicicleta con funda. Masa incluida en la fila de tornillería.</t>
  </si>
  <si>
    <t xml:space="preserve">Tornillería, cables y electrónica (controlador, sensor Hall del gatillo, sensor de presencia)</t>
  </si>
  <si>
    <t xml:space="preserve">Varios</t>
  </si>
  <si>
    <t xml:space="preserve">Estimado; no está dibujado en el modelo 3D.</t>
  </si>
  <si>
    <t xml:space="preserve">Masa sin batería (g)</t>
  </si>
  <si>
    <t xml:space="preserve">Al cinturón (no pesa en el brazo)</t>
  </si>
  <si>
    <t xml:space="preserve">C05</t>
  </si>
  <si>
    <t xml:space="preserve">Batería Li-ion 36 V 2,5-4 Ah al cinturón + cable espiral</t>
  </si>
  <si>
    <t xml:space="preserve">Batería de herramienta de 36 V. Con 2,5 Ah pesa unos 0,9 kg y con 4 Ah unos 1,3 kg. Va al cinturón con cable espiral.</t>
  </si>
  <si>
    <t xml:space="preserve">Total con batería (g)</t>
  </si>
  <si>
    <t xml:space="preserve">Notas</t>
  </si>
  <si>
    <t xml:space="preserve">Masa de la batería: 900 g para 2,5 Ah (estimado de catálogo). Con 4 Ah, unos 1.300 g.</t>
  </si>
  <si>
    <t xml:space="preserve">Los DXF están a escala 1:1: las piezas de chapa (P01, P02, P03, P04, P06, P07, P13, P17) van directo a corte; antes, borrar las capas COTAS, TEXTO, EJES y MARCO.</t>
  </si>
  <si>
    <t xml:space="preserve">Las piezas plásticas (P10, P11, P12, P14, P16, P18) se pueden imprimir en 3D desde el STEP para el prototipo.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</si>
</sst>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55B63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7E9EC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5BAC1"/>
      </left>
      <right style="thin">
        <color rgb="FFB5BAC1"/>
      </right>
      <top style="thin">
        <color rgb="FFB5BAC1"/>
      </top>
      <bottom style="thin">
        <color rgb="FFB5BAC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9E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5BAC1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B63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40"/>
    <col collapsed="false" customWidth="true" hidden="false" outlineLevel="0" max="5" min="5" style="0" width="6"/>
    <col collapsed="false" customWidth="true" hidden="false" outlineLevel="0" max="7" min="6" style="0" width="12"/>
    <col collapsed="false" customWidth="true" hidden="false" outlineLevel="0" max="8" min="8" style="0" width="58"/>
    <col collapsed="false" customWidth="true" hidden="false" outlineLevel="0" max="10" min="9" style="0" width="4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3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23.85" hidden="false" customHeight="false" outlineLevel="0" collapsed="false">
      <c r="A5" s="4" t="s">
        <v>12</v>
      </c>
      <c r="B5" s="5" t="s">
        <v>13</v>
      </c>
      <c r="C5" s="4" t="s">
        <v>14</v>
      </c>
      <c r="D5" s="5" t="s">
        <v>15</v>
      </c>
      <c r="E5" s="4" t="n">
        <v>1</v>
      </c>
      <c r="F5" s="6" t="n">
        <v>426</v>
      </c>
      <c r="G5" s="6" t="n">
        <f aca="false">E5*F5</f>
        <v>426</v>
      </c>
      <c r="H5" s="5" t="s">
        <v>16</v>
      </c>
      <c r="I5" s="4" t="s">
        <v>17</v>
      </c>
      <c r="J5" s="4" t="s">
        <v>18</v>
      </c>
    </row>
    <row r="6" customFormat="false" ht="35.05" hidden="false" customHeight="false" outlineLevel="0" collapsed="false">
      <c r="A6" s="4" t="s">
        <v>19</v>
      </c>
      <c r="B6" s="5" t="s">
        <v>20</v>
      </c>
      <c r="C6" s="4" t="s">
        <v>14</v>
      </c>
      <c r="D6" s="5" t="s">
        <v>21</v>
      </c>
      <c r="E6" s="4" t="n">
        <v>1</v>
      </c>
      <c r="F6" s="6" t="n">
        <v>273</v>
      </c>
      <c r="G6" s="6" t="n">
        <f aca="false">E6*F6</f>
        <v>273</v>
      </c>
      <c r="H6" s="5" t="s">
        <v>22</v>
      </c>
      <c r="I6" s="4" t="s">
        <v>23</v>
      </c>
      <c r="J6" s="4" t="s">
        <v>24</v>
      </c>
    </row>
    <row r="7" customFormat="false" ht="23.85" hidden="false" customHeight="false" outlineLevel="0" collapsed="false">
      <c r="A7" s="4" t="s">
        <v>25</v>
      </c>
      <c r="B7" s="5" t="s">
        <v>26</v>
      </c>
      <c r="C7" s="4" t="s">
        <v>14</v>
      </c>
      <c r="D7" s="5" t="s">
        <v>27</v>
      </c>
      <c r="E7" s="4" t="n">
        <v>1</v>
      </c>
      <c r="F7" s="6" t="n">
        <v>296</v>
      </c>
      <c r="G7" s="6" t="n">
        <f aca="false">E7*F7</f>
        <v>296</v>
      </c>
      <c r="H7" s="5" t="s">
        <v>28</v>
      </c>
      <c r="I7" s="4" t="s">
        <v>29</v>
      </c>
      <c r="J7" s="4" t="s">
        <v>30</v>
      </c>
    </row>
    <row r="8" customFormat="false" ht="23.85" hidden="false" customHeight="false" outlineLevel="0" collapsed="false">
      <c r="A8" s="4" t="s">
        <v>31</v>
      </c>
      <c r="B8" s="5" t="s">
        <v>32</v>
      </c>
      <c r="C8" s="4" t="s">
        <v>14</v>
      </c>
      <c r="D8" s="5" t="s">
        <v>33</v>
      </c>
      <c r="E8" s="4" t="n">
        <v>1</v>
      </c>
      <c r="F8" s="6" t="n">
        <v>60</v>
      </c>
      <c r="G8" s="6" t="n">
        <f aca="false">E8*F8</f>
        <v>60</v>
      </c>
      <c r="H8" s="5" t="s">
        <v>34</v>
      </c>
      <c r="I8" s="4" t="s">
        <v>35</v>
      </c>
      <c r="J8" s="4" t="s">
        <v>36</v>
      </c>
    </row>
    <row r="9" customFormat="false" ht="15" hidden="false" customHeight="false" outlineLevel="0" collapsed="false">
      <c r="A9" s="4" t="s">
        <v>37</v>
      </c>
      <c r="B9" s="5" t="s">
        <v>38</v>
      </c>
      <c r="C9" s="4" t="s">
        <v>14</v>
      </c>
      <c r="D9" s="5" t="s">
        <v>39</v>
      </c>
      <c r="E9" s="4" t="n">
        <v>1</v>
      </c>
      <c r="F9" s="6" t="n">
        <v>569</v>
      </c>
      <c r="G9" s="6" t="n">
        <f aca="false">E9*F9</f>
        <v>569</v>
      </c>
      <c r="H9" s="5" t="s">
        <v>40</v>
      </c>
      <c r="I9" s="4" t="s">
        <v>41</v>
      </c>
      <c r="J9" s="4" t="s">
        <v>42</v>
      </c>
    </row>
    <row r="10" customFormat="false" ht="15" hidden="false" customHeight="false" outlineLevel="0" collapsed="false">
      <c r="A10" s="4" t="s">
        <v>43</v>
      </c>
      <c r="B10" s="5" t="s">
        <v>44</v>
      </c>
      <c r="C10" s="4" t="s">
        <v>14</v>
      </c>
      <c r="D10" s="5" t="s">
        <v>45</v>
      </c>
      <c r="E10" s="4" t="n">
        <v>1</v>
      </c>
      <c r="F10" s="6" t="n">
        <v>96</v>
      </c>
      <c r="G10" s="6" t="n">
        <f aca="false">E10*F10</f>
        <v>96</v>
      </c>
      <c r="H10" s="5" t="s">
        <v>46</v>
      </c>
      <c r="I10" s="4" t="s">
        <v>47</v>
      </c>
      <c r="J10" s="4" t="s">
        <v>48</v>
      </c>
    </row>
    <row r="11" customFormat="false" ht="15" hidden="false" customHeight="false" outlineLevel="0" collapsed="false">
      <c r="A11" s="4" t="s">
        <v>49</v>
      </c>
      <c r="B11" s="5" t="s">
        <v>50</v>
      </c>
      <c r="C11" s="4" t="s">
        <v>14</v>
      </c>
      <c r="D11" s="5" t="s">
        <v>51</v>
      </c>
      <c r="E11" s="4" t="n">
        <v>1</v>
      </c>
      <c r="F11" s="6" t="n">
        <v>80</v>
      </c>
      <c r="G11" s="6" t="n">
        <f aca="false">E11*F11</f>
        <v>80</v>
      </c>
      <c r="H11" s="5" t="s">
        <v>52</v>
      </c>
      <c r="I11" s="4" t="s">
        <v>53</v>
      </c>
      <c r="J11" s="4" t="s">
        <v>54</v>
      </c>
    </row>
    <row r="12" customFormat="false" ht="23.85" hidden="false" customHeight="false" outlineLevel="0" collapsed="false">
      <c r="A12" s="4" t="s">
        <v>55</v>
      </c>
      <c r="B12" s="5" t="s">
        <v>56</v>
      </c>
      <c r="C12" s="4" t="s">
        <v>57</v>
      </c>
      <c r="D12" s="5" t="s">
        <v>58</v>
      </c>
      <c r="E12" s="4" t="n">
        <v>1</v>
      </c>
      <c r="F12" s="6" t="n">
        <v>134</v>
      </c>
      <c r="G12" s="6" t="n">
        <f aca="false">E12*F12</f>
        <v>134</v>
      </c>
      <c r="H12" s="5" t="s">
        <v>59</v>
      </c>
      <c r="I12" s="4" t="s">
        <v>60</v>
      </c>
      <c r="J12" s="4" t="s">
        <v>61</v>
      </c>
    </row>
    <row r="13" customFormat="false" ht="15" hidden="false" customHeight="false" outlineLevel="0" collapsed="false">
      <c r="A13" s="4" t="s">
        <v>62</v>
      </c>
      <c r="B13" s="5" t="s">
        <v>63</v>
      </c>
      <c r="C13" s="4" t="s">
        <v>57</v>
      </c>
      <c r="D13" s="5" t="s">
        <v>64</v>
      </c>
      <c r="E13" s="4" t="n">
        <v>1</v>
      </c>
      <c r="F13" s="6" t="n">
        <v>62</v>
      </c>
      <c r="G13" s="6" t="n">
        <f aca="false">E13*F13</f>
        <v>62</v>
      </c>
      <c r="H13" s="5" t="s">
        <v>65</v>
      </c>
      <c r="I13" s="4" t="s">
        <v>66</v>
      </c>
      <c r="J13" s="4" t="s">
        <v>67</v>
      </c>
    </row>
    <row r="14" customFormat="false" ht="15" hidden="false" customHeight="false" outlineLevel="0" collapsed="false">
      <c r="A14" s="4" t="s">
        <v>68</v>
      </c>
      <c r="B14" s="5" t="s">
        <v>69</v>
      </c>
      <c r="C14" s="4" t="s">
        <v>57</v>
      </c>
      <c r="D14" s="5" t="s">
        <v>70</v>
      </c>
      <c r="E14" s="4" t="n">
        <v>1</v>
      </c>
      <c r="F14" s="6" t="n">
        <v>153</v>
      </c>
      <c r="G14" s="6" t="n">
        <f aca="false">E14*F14</f>
        <v>153</v>
      </c>
      <c r="H14" s="5" t="s">
        <v>71</v>
      </c>
      <c r="I14" s="4" t="s">
        <v>72</v>
      </c>
      <c r="J14" s="4" t="s">
        <v>73</v>
      </c>
    </row>
    <row r="15" customFormat="false" ht="23.85" hidden="false" customHeight="false" outlineLevel="0" collapsed="false">
      <c r="A15" s="4" t="s">
        <v>74</v>
      </c>
      <c r="B15" s="5" t="s">
        <v>75</v>
      </c>
      <c r="C15" s="4" t="s">
        <v>57</v>
      </c>
      <c r="D15" s="5" t="s">
        <v>76</v>
      </c>
      <c r="E15" s="4" t="n">
        <v>1</v>
      </c>
      <c r="F15" s="6" t="n">
        <v>156</v>
      </c>
      <c r="G15" s="6" t="n">
        <f aca="false">E15*F15</f>
        <v>156</v>
      </c>
      <c r="H15" s="5" t="s">
        <v>77</v>
      </c>
      <c r="I15" s="4" t="s">
        <v>78</v>
      </c>
      <c r="J15" s="4" t="s">
        <v>79</v>
      </c>
    </row>
    <row r="16" customFormat="false" ht="15" hidden="false" customHeight="false" outlineLevel="0" collapsed="false">
      <c r="A16" s="4" t="s">
        <v>80</v>
      </c>
      <c r="B16" s="5" t="s">
        <v>81</v>
      </c>
      <c r="C16" s="4" t="s">
        <v>57</v>
      </c>
      <c r="D16" s="5" t="s">
        <v>82</v>
      </c>
      <c r="E16" s="4" t="n">
        <v>1</v>
      </c>
      <c r="F16" s="6" t="n">
        <v>39</v>
      </c>
      <c r="G16" s="6" t="n">
        <f aca="false">E16*F16</f>
        <v>39</v>
      </c>
      <c r="H16" s="5" t="s">
        <v>83</v>
      </c>
      <c r="I16" s="4" t="s">
        <v>84</v>
      </c>
      <c r="J16" s="4" t="s">
        <v>85</v>
      </c>
    </row>
    <row r="17" customFormat="false" ht="15" hidden="false" customHeight="false" outlineLevel="0" collapsed="false">
      <c r="A17" s="4" t="s">
        <v>86</v>
      </c>
      <c r="B17" s="5" t="s">
        <v>87</v>
      </c>
      <c r="C17" s="4" t="s">
        <v>88</v>
      </c>
      <c r="D17" s="5" t="s">
        <v>89</v>
      </c>
      <c r="E17" s="4" t="n">
        <v>1</v>
      </c>
      <c r="F17" s="6" t="n">
        <v>111</v>
      </c>
      <c r="G17" s="6" t="n">
        <f aca="false">E17*F17</f>
        <v>111</v>
      </c>
      <c r="H17" s="5" t="s">
        <v>90</v>
      </c>
      <c r="I17" s="4" t="s">
        <v>91</v>
      </c>
      <c r="J17" s="4" t="s">
        <v>92</v>
      </c>
    </row>
    <row r="18" customFormat="false" ht="15" hidden="false" customHeight="false" outlineLevel="0" collapsed="false">
      <c r="A18" s="4" t="s">
        <v>93</v>
      </c>
      <c r="B18" s="5" t="s">
        <v>94</v>
      </c>
      <c r="C18" s="4" t="s">
        <v>88</v>
      </c>
      <c r="D18" s="5" t="s">
        <v>95</v>
      </c>
      <c r="E18" s="4" t="n">
        <v>1</v>
      </c>
      <c r="F18" s="6" t="n">
        <v>75</v>
      </c>
      <c r="G18" s="6" t="n">
        <f aca="false">E18*F18</f>
        <v>75</v>
      </c>
      <c r="H18" s="5" t="s">
        <v>96</v>
      </c>
      <c r="I18" s="4" t="s">
        <v>97</v>
      </c>
      <c r="J18" s="4" t="s">
        <v>98</v>
      </c>
    </row>
    <row r="19" customFormat="false" ht="23.85" hidden="false" customHeight="false" outlineLevel="0" collapsed="false">
      <c r="A19" s="4" t="s">
        <v>99</v>
      </c>
      <c r="B19" s="5" t="s">
        <v>100</v>
      </c>
      <c r="C19" s="4" t="s">
        <v>88</v>
      </c>
      <c r="D19" s="5" t="s">
        <v>101</v>
      </c>
      <c r="E19" s="4" t="n">
        <v>1</v>
      </c>
      <c r="F19" s="6" t="n">
        <v>11</v>
      </c>
      <c r="G19" s="6" t="n">
        <f aca="false">E19*F19</f>
        <v>11</v>
      </c>
      <c r="H19" s="5" t="s">
        <v>102</v>
      </c>
      <c r="I19" s="4" t="s">
        <v>103</v>
      </c>
      <c r="J19" s="4" t="s">
        <v>104</v>
      </c>
    </row>
    <row r="20" customFormat="false" ht="15" hidden="false" customHeight="false" outlineLevel="0" collapsed="false">
      <c r="A20" s="4" t="s">
        <v>105</v>
      </c>
      <c r="B20" s="5" t="s">
        <v>106</v>
      </c>
      <c r="C20" s="4" t="s">
        <v>57</v>
      </c>
      <c r="D20" s="5" t="s">
        <v>107</v>
      </c>
      <c r="E20" s="4" t="n">
        <v>1</v>
      </c>
      <c r="F20" s="6" t="n">
        <v>24</v>
      </c>
      <c r="G20" s="6" t="n">
        <f aca="false">E20*F20</f>
        <v>24</v>
      </c>
      <c r="H20" s="5" t="s">
        <v>108</v>
      </c>
      <c r="I20" s="4" t="s">
        <v>109</v>
      </c>
      <c r="J20" s="4" t="s">
        <v>110</v>
      </c>
    </row>
    <row r="21" customFormat="false" ht="23.85" hidden="false" customHeight="false" outlineLevel="0" collapsed="false">
      <c r="A21" s="4" t="s">
        <v>111</v>
      </c>
      <c r="B21" s="5" t="s">
        <v>112</v>
      </c>
      <c r="C21" s="4" t="s">
        <v>14</v>
      </c>
      <c r="D21" s="5" t="s">
        <v>113</v>
      </c>
      <c r="E21" s="4" t="n">
        <v>1</v>
      </c>
      <c r="F21" s="6" t="n">
        <v>52</v>
      </c>
      <c r="G21" s="6" t="n">
        <f aca="false">E21*F21</f>
        <v>52</v>
      </c>
      <c r="H21" s="5" t="s">
        <v>114</v>
      </c>
      <c r="I21" s="4" t="s">
        <v>115</v>
      </c>
      <c r="J21" s="4" t="s">
        <v>116</v>
      </c>
    </row>
    <row r="22" customFormat="false" ht="15" hidden="false" customHeight="false" outlineLevel="0" collapsed="false">
      <c r="A22" s="4" t="s">
        <v>117</v>
      </c>
      <c r="B22" s="5" t="s">
        <v>118</v>
      </c>
      <c r="C22" s="4" t="s">
        <v>57</v>
      </c>
      <c r="D22" s="5" t="s">
        <v>119</v>
      </c>
      <c r="E22" s="4" t="n">
        <v>1</v>
      </c>
      <c r="F22" s="6" t="n">
        <v>4</v>
      </c>
      <c r="G22" s="6" t="n">
        <f aca="false">E22*F22</f>
        <v>4</v>
      </c>
      <c r="H22" s="5" t="s">
        <v>120</v>
      </c>
      <c r="I22" s="4" t="s">
        <v>121</v>
      </c>
      <c r="J22" s="4" t="s">
        <v>122</v>
      </c>
    </row>
    <row r="23" customFormat="false" ht="35.05" hidden="false" customHeight="false" outlineLevel="0" collapsed="false">
      <c r="A23" s="4" t="s">
        <v>123</v>
      </c>
      <c r="B23" s="5" t="s">
        <v>124</v>
      </c>
      <c r="C23" s="4" t="s">
        <v>57</v>
      </c>
      <c r="D23" s="5" t="s">
        <v>125</v>
      </c>
      <c r="E23" s="4" t="n">
        <v>1</v>
      </c>
      <c r="F23" s="6" t="n">
        <v>138</v>
      </c>
      <c r="G23" s="6" t="n">
        <f aca="false">E23*F23</f>
        <v>138</v>
      </c>
      <c r="H23" s="5" t="s">
        <v>126</v>
      </c>
      <c r="I23" s="4" t="s">
        <v>127</v>
      </c>
      <c r="J23" s="4" t="s">
        <v>128</v>
      </c>
    </row>
    <row r="24" customFormat="false" ht="23.85" hidden="false" customHeight="false" outlineLevel="0" collapsed="false">
      <c r="A24" s="4" t="s">
        <v>129</v>
      </c>
      <c r="B24" s="5" t="s">
        <v>130</v>
      </c>
      <c r="C24" s="4" t="s">
        <v>131</v>
      </c>
      <c r="D24" s="5" t="s">
        <v>132</v>
      </c>
      <c r="E24" s="4" t="n">
        <v>1</v>
      </c>
      <c r="F24" s="6" t="n">
        <v>353</v>
      </c>
      <c r="G24" s="6" t="n">
        <f aca="false">E24*F24</f>
        <v>353</v>
      </c>
      <c r="H24" s="5" t="s">
        <v>133</v>
      </c>
      <c r="I24" s="4" t="s">
        <v>134</v>
      </c>
      <c r="J24" s="4" t="s">
        <v>135</v>
      </c>
    </row>
    <row r="25" customFormat="false" ht="15" hidden="false" customHeight="false" outlineLevel="0" collapsed="false">
      <c r="A25" s="4" t="s">
        <v>136</v>
      </c>
      <c r="B25" s="5" t="s">
        <v>137</v>
      </c>
      <c r="C25" s="4" t="s">
        <v>131</v>
      </c>
      <c r="D25" s="5" t="s">
        <v>132</v>
      </c>
      <c r="E25" s="4" t="n">
        <v>1</v>
      </c>
      <c r="F25" s="6" t="n">
        <v>254</v>
      </c>
      <c r="G25" s="6" t="n">
        <f aca="false">E25*F25</f>
        <v>254</v>
      </c>
      <c r="H25" s="5" t="s">
        <v>138</v>
      </c>
      <c r="I25" s="4" t="s">
        <v>134</v>
      </c>
      <c r="J25" s="4" t="s">
        <v>135</v>
      </c>
    </row>
    <row r="26" customFormat="false" ht="23.85" hidden="false" customHeight="false" outlineLevel="0" collapsed="false">
      <c r="A26" s="4" t="s">
        <v>139</v>
      </c>
      <c r="B26" s="5" t="s">
        <v>140</v>
      </c>
      <c r="C26" s="4" t="s">
        <v>131</v>
      </c>
      <c r="D26" s="5" t="s">
        <v>132</v>
      </c>
      <c r="E26" s="4" t="n">
        <v>1</v>
      </c>
      <c r="F26" s="6" t="n">
        <v>126</v>
      </c>
      <c r="G26" s="6" t="n">
        <f aca="false">E26*F26</f>
        <v>126</v>
      </c>
      <c r="H26" s="5" t="s">
        <v>141</v>
      </c>
      <c r="I26" s="4" t="s">
        <v>134</v>
      </c>
      <c r="J26" s="4" t="s">
        <v>135</v>
      </c>
    </row>
    <row r="27" customFormat="false" ht="15" hidden="false" customHeight="false" outlineLevel="0" collapsed="false">
      <c r="A27" s="4" t="s">
        <v>142</v>
      </c>
      <c r="B27" s="5" t="s">
        <v>143</v>
      </c>
      <c r="C27" s="4" t="s">
        <v>131</v>
      </c>
      <c r="D27" s="5" t="s">
        <v>132</v>
      </c>
      <c r="E27" s="4" t="n">
        <v>1</v>
      </c>
      <c r="F27" s="6" t="n">
        <v>134</v>
      </c>
      <c r="G27" s="6" t="n">
        <f aca="false">E27*F27</f>
        <v>134</v>
      </c>
      <c r="H27" s="5" t="s">
        <v>144</v>
      </c>
      <c r="I27" s="4" t="s">
        <v>134</v>
      </c>
      <c r="J27" s="4" t="s">
        <v>135</v>
      </c>
    </row>
    <row r="28" customFormat="false" ht="23.85" hidden="false" customHeight="false" outlineLevel="0" collapsed="false">
      <c r="A28" s="4" t="s">
        <v>145</v>
      </c>
      <c r="B28" s="5" t="s">
        <v>146</v>
      </c>
      <c r="C28" s="4" t="s">
        <v>14</v>
      </c>
      <c r="D28" s="5" t="s">
        <v>147</v>
      </c>
      <c r="E28" s="4" t="n">
        <v>1</v>
      </c>
      <c r="F28" s="6" t="n">
        <v>52</v>
      </c>
      <c r="G28" s="6" t="n">
        <f aca="false">E28*F28</f>
        <v>52</v>
      </c>
      <c r="H28" s="5" t="s">
        <v>148</v>
      </c>
      <c r="I28" s="4" t="s">
        <v>134</v>
      </c>
      <c r="J28" s="4" t="s">
        <v>135</v>
      </c>
    </row>
    <row r="29" customFormat="false" ht="23.85" hidden="false" customHeight="false" outlineLevel="0" collapsed="false">
      <c r="A29" s="4" t="s">
        <v>149</v>
      </c>
      <c r="B29" s="5" t="s">
        <v>150</v>
      </c>
      <c r="C29" s="4" t="s">
        <v>14</v>
      </c>
      <c r="D29" s="5" t="s">
        <v>132</v>
      </c>
      <c r="E29" s="4" t="n">
        <v>1</v>
      </c>
      <c r="F29" s="6" t="n">
        <v>8</v>
      </c>
      <c r="G29" s="6" t="n">
        <f aca="false">E29*F29</f>
        <v>8</v>
      </c>
      <c r="H29" s="5" t="s">
        <v>151</v>
      </c>
      <c r="I29" s="4" t="s">
        <v>134</v>
      </c>
      <c r="J29" s="4" t="s">
        <v>135</v>
      </c>
    </row>
    <row r="30" customFormat="false" ht="23.85" hidden="false" customHeight="false" outlineLevel="0" collapsed="false">
      <c r="A30" s="4" t="s">
        <v>152</v>
      </c>
      <c r="B30" s="5" t="s">
        <v>153</v>
      </c>
      <c r="C30" s="4" t="s">
        <v>57</v>
      </c>
      <c r="D30" s="5" t="s">
        <v>154</v>
      </c>
      <c r="E30" s="4" t="n">
        <v>1</v>
      </c>
      <c r="F30" s="6" t="n">
        <v>14</v>
      </c>
      <c r="G30" s="6" t="n">
        <f aca="false">E30*F30</f>
        <v>14</v>
      </c>
      <c r="H30" s="5" t="s">
        <v>155</v>
      </c>
      <c r="I30" s="4" t="s">
        <v>134</v>
      </c>
      <c r="J30" s="4" t="s">
        <v>135</v>
      </c>
    </row>
    <row r="31" customFormat="false" ht="23.85" hidden="false" customHeight="false" outlineLevel="0" collapsed="false">
      <c r="A31" s="4" t="s">
        <v>156</v>
      </c>
      <c r="B31" s="5" t="s">
        <v>157</v>
      </c>
      <c r="C31" s="4" t="s">
        <v>57</v>
      </c>
      <c r="D31" s="5" t="s">
        <v>132</v>
      </c>
      <c r="E31" s="4" t="n">
        <v>1</v>
      </c>
      <c r="F31" s="6" t="n">
        <v>0</v>
      </c>
      <c r="G31" s="6" t="n">
        <f aca="false">E31*F31</f>
        <v>0</v>
      </c>
      <c r="H31" s="5" t="s">
        <v>158</v>
      </c>
      <c r="I31" s="4" t="s">
        <v>134</v>
      </c>
      <c r="J31" s="4" t="s">
        <v>135</v>
      </c>
    </row>
    <row r="32" customFormat="false" ht="35.05" hidden="false" customHeight="false" outlineLevel="0" collapsed="false">
      <c r="A32" s="4" t="s">
        <v>135</v>
      </c>
      <c r="B32" s="5" t="s">
        <v>159</v>
      </c>
      <c r="C32" s="4" t="s">
        <v>160</v>
      </c>
      <c r="D32" s="5" t="s">
        <v>132</v>
      </c>
      <c r="E32" s="4" t="n">
        <v>1</v>
      </c>
      <c r="F32" s="6" t="n">
        <v>150</v>
      </c>
      <c r="G32" s="6" t="n">
        <f aca="false">E32*F32</f>
        <v>150</v>
      </c>
      <c r="H32" s="5" t="s">
        <v>161</v>
      </c>
      <c r="I32" s="4" t="s">
        <v>135</v>
      </c>
      <c r="J32" s="4" t="s">
        <v>135</v>
      </c>
    </row>
    <row r="33" customFormat="false" ht="15" hidden="false" customHeight="false" outlineLevel="0" collapsed="false">
      <c r="F33" s="7" t="s">
        <v>162</v>
      </c>
      <c r="G33" s="8" t="n">
        <f aca="false">SUM(G5:G32)</f>
        <v>3850</v>
      </c>
    </row>
    <row r="35" customFormat="false" ht="15" hidden="false" customHeight="false" outlineLevel="0" collapsed="false">
      <c r="A35" s="7" t="s">
        <v>163</v>
      </c>
    </row>
    <row r="36" customFormat="false" ht="23.85" hidden="false" customHeight="false" outlineLevel="0" collapsed="false">
      <c r="A36" s="4" t="s">
        <v>164</v>
      </c>
      <c r="B36" s="5" t="s">
        <v>165</v>
      </c>
      <c r="C36" s="4" t="s">
        <v>131</v>
      </c>
      <c r="D36" s="5" t="s">
        <v>132</v>
      </c>
      <c r="E36" s="4" t="n">
        <v>1</v>
      </c>
      <c r="F36" s="6" t="n">
        <v>900</v>
      </c>
      <c r="G36" s="6" t="n">
        <f aca="false">E36*F36</f>
        <v>900</v>
      </c>
      <c r="H36" s="5" t="s">
        <v>166</v>
      </c>
      <c r="I36" s="4" t="s">
        <v>134</v>
      </c>
      <c r="J36" s="4" t="s">
        <v>135</v>
      </c>
    </row>
    <row r="37" customFormat="false" ht="15" hidden="false" customHeight="false" outlineLevel="0" collapsed="false">
      <c r="F37" s="7" t="s">
        <v>167</v>
      </c>
      <c r="G37" s="8" t="n">
        <f aca="false">G33+G36</f>
        <v>4750</v>
      </c>
    </row>
    <row r="39" customFormat="false" ht="15" hidden="false" customHeight="false" outlineLevel="0" collapsed="false">
      <c r="A39" s="7" t="s">
        <v>168</v>
      </c>
    </row>
    <row r="40" customFormat="false" ht="15" hidden="false" customHeight="false" outlineLevel="0" collapsed="false">
      <c r="A40" s="9" t="s">
        <v>169</v>
      </c>
    </row>
    <row r="41" customFormat="false" ht="15" hidden="false" customHeight="false" outlineLevel="0" collapsed="false">
      <c r="A41" s="9" t="s">
        <v>170</v>
      </c>
    </row>
    <row r="42" customFormat="false" ht="15" hidden="false" customHeight="false" outlineLevel="0" collapsed="false">
      <c r="A42" s="9" t="s">
        <v>171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2026-10-12T04:14:18Z</dcterms:created>
  <dc:creator>openpyxl</dc:creator>
  <dc:description/>
  <dc:language>en-US</dc:language>
  <cp:lastModifiedBy/>
  <dcterms:modified xsi:type="dcterms:W3CDTF">2026-10-12T04:14:18Z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